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edbleusden-my.sharepoint.com/personal/tdebondt_edb_nl/Documents/Documenten - Eikelboom &amp; De Bondt/Kluwer/MFAS/Rekenmodellen/Bewerking/"/>
    </mc:Choice>
  </mc:AlternateContent>
  <xr:revisionPtr revIDLastSave="0" documentId="8_{8EB34A17-9491-499B-AF39-575501B4E52F}" xr6:coauthVersionLast="47" xr6:coauthVersionMax="47" xr10:uidLastSave="{00000000-0000-0000-0000-000000000000}"/>
  <bookViews>
    <workbookView showHorizontalScroll="0" xWindow="34140" yWindow="2610" windowWidth="28800" windowHeight="15345" xr2:uid="{00000000-000D-0000-FFFF-FFFF00000000}"/>
  </bookViews>
  <sheets>
    <sheet name="BV ja, BV nee" sheetId="1" r:id="rId1"/>
    <sheet name="Dividend" sheetId="7" r:id="rId2"/>
    <sheet name="Ruisend" sheetId="2" r:id="rId3"/>
    <sheet name="Liqvoord" sheetId="3" r:id="rId4"/>
    <sheet name="Balans ri" sheetId="8" r:id="rId5"/>
    <sheet name="Balans gi " sheetId="5" r:id="rId6"/>
    <sheet name="Art14" sheetId="10" r:id="rId7"/>
    <sheet name="Firma-BV" sheetId="9" r:id="rId8"/>
    <sheet name="Tabellen" sheetId="4" r:id="rId9"/>
    <sheet name="Uitleg" sheetId="6" r:id="rId10"/>
    <sheet name="Release notes" sheetId="11" r:id="rId11"/>
    <sheet name="Copyright" sheetId="12" r:id="rId12"/>
  </sheets>
  <definedNames>
    <definedName name="AB">'BV ja, BV nee'!$E$7</definedName>
    <definedName name="_xlnm.Print_Area" localSheetId="2">Ruisend!$A$1:$C$61</definedName>
    <definedName name="AOWfranchise">Tabellen!$D$58</definedName>
    <definedName name="belasting">'BV ja, BV nee'!$B$39</definedName>
    <definedName name="Box1DGA">'BV ja, BV nee'!$E$31</definedName>
    <definedName name="Box1OND">'BV ja, BV nee'!$B$31</definedName>
    <definedName name="dividendLevensonderhoud">'BV ja, BV nee'!$E$8</definedName>
    <definedName name="ExclVoordeel">'BV ja, BV nee'!$G$39</definedName>
    <definedName name="fiscaleClaims">'BV ja, BV nee'!$E$44</definedName>
    <definedName name="invAftrek">'BV ja, BV nee'!$B$10</definedName>
    <definedName name="jaar">'BV ja, BV nee'!$B$4</definedName>
    <definedName name="Jaarruimte">Tabellen!$D$53</definedName>
    <definedName name="Jaren">'BV ja, BV nee'!$E$5</definedName>
    <definedName name="KostenBV">'BV ja, BV nee'!$E$4</definedName>
    <definedName name="leeftijd">'BV ja, BV nee'!$B$5</definedName>
    <definedName name="loonDGA">'BV ja, BV nee'!$E$9</definedName>
    <definedName name="minimaalgebruikelijkloon">Tabellen!$E$18</definedName>
    <definedName name="mkbvrijst">Tabellen!$D$6</definedName>
    <definedName name="premieBeroepspensioen">'BV ja, BV nee'!$B$11</definedName>
    <definedName name="Reserveringsruimte">Tabellen!$D$54</definedName>
    <definedName name="StakingslijfrenteHoog">Tabellen!$D$55</definedName>
    <definedName name="StakingslijfrenteLaag">Tabellen!$D$57</definedName>
    <definedName name="StakingslijfrenteMedium">Tabellen!$D$56</definedName>
    <definedName name="stijgingWevab">'BV ja, BV nee'!$B$17</definedName>
    <definedName name="tabelAK">Tabellen!$A$38:$C$42</definedName>
    <definedName name="tabelIB">Tabellen!$A$9:$D$11</definedName>
    <definedName name="TotaalVoordeel">'BV ja, BV nee'!$G$44</definedName>
    <definedName name="versie">"v20260304"</definedName>
    <definedName name="vpb">'BV ja, BV nee'!$E$34</definedName>
    <definedName name="vpbTarief">'BV ja, BV nee'!$E$17</definedName>
    <definedName name="wevab">'BV ja, BV nee'!$B$16</definedName>
    <definedName name="WinstIB">'BV ja, BV nee'!$B$7</definedName>
    <definedName name="winstVoorVPB">'BV ja, BV nee'!$E$16</definedName>
    <definedName name="wkr">'BV ja, BV nee'!$E$10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4" l="1"/>
  <c r="D35" i="10"/>
  <c r="D25" i="10"/>
  <c r="A14" i="10"/>
  <c r="A15" i="10"/>
  <c r="A1" i="10"/>
  <c r="D7" i="1"/>
  <c r="B1" i="11"/>
  <c r="B20" i="6"/>
  <c r="A8" i="4"/>
  <c r="E26" i="4"/>
  <c r="A1" i="3"/>
  <c r="B26" i="6" l="1"/>
  <c r="B5" i="6"/>
  <c r="A1" i="1" l="1"/>
  <c r="A1" i="9"/>
  <c r="B9" i="2"/>
  <c r="C11" i="7"/>
  <c r="B25" i="1" l="1"/>
  <c r="D53" i="4"/>
  <c r="B15" i="2" s="1"/>
  <c r="A51" i="4"/>
  <c r="A47" i="4"/>
  <c r="A37" i="4"/>
  <c r="A30" i="4"/>
  <c r="A27" i="4"/>
  <c r="A28" i="4"/>
  <c r="A13" i="4"/>
  <c r="E21" i="4"/>
  <c r="B1" i="12"/>
  <c r="D3" i="4"/>
  <c r="E5" i="1"/>
  <c r="C10" i="4" l="1"/>
  <c r="B22" i="2"/>
  <c r="E12" i="1"/>
  <c r="E11" i="1"/>
  <c r="B12" i="6" l="1"/>
  <c r="B1" i="6"/>
  <c r="A1" i="4"/>
  <c r="E35" i="4"/>
  <c r="A1" i="5"/>
  <c r="A1" i="8"/>
  <c r="A1" i="2"/>
  <c r="A1" i="7"/>
  <c r="E9" i="1" l="1"/>
  <c r="E8" i="1"/>
  <c r="E13" i="4"/>
  <c r="B11" i="10"/>
  <c r="A17" i="10"/>
  <c r="A16" i="10"/>
  <c r="A19" i="10"/>
  <c r="A18" i="10"/>
  <c r="A21" i="10"/>
  <c r="A24" i="10"/>
  <c r="A23" i="10"/>
  <c r="A22" i="10"/>
  <c r="A12" i="10"/>
  <c r="A13" i="10"/>
  <c r="A8" i="10"/>
  <c r="A7" i="10"/>
  <c r="B39" i="10"/>
  <c r="B14" i="10"/>
  <c r="B18" i="10" s="1"/>
  <c r="B35" i="10"/>
  <c r="B31" i="10"/>
  <c r="E27" i="10"/>
  <c r="B13" i="10"/>
  <c r="B39" i="6" l="1"/>
  <c r="B38" i="6"/>
  <c r="E16" i="1"/>
  <c r="E37" i="10"/>
  <c r="B15" i="10"/>
  <c r="D11" i="3"/>
  <c r="B36" i="3"/>
  <c r="C36" i="3" s="1"/>
  <c r="D36" i="3" s="1"/>
  <c r="E36" i="3" s="1"/>
  <c r="F36" i="3" s="1"/>
  <c r="G36" i="3" s="1"/>
  <c r="H36" i="3" s="1"/>
  <c r="I36" i="3" s="1"/>
  <c r="J36" i="3" s="1"/>
  <c r="K36" i="3" s="1"/>
  <c r="L36" i="3" s="1"/>
  <c r="M36" i="3" s="1"/>
  <c r="N36" i="3" s="1"/>
  <c r="O36" i="3" s="1"/>
  <c r="P36" i="3" s="1"/>
  <c r="Q36" i="3" s="1"/>
  <c r="R36" i="3" s="1"/>
  <c r="S36" i="3" s="1"/>
  <c r="T36" i="3" s="1"/>
  <c r="U36" i="3" s="1"/>
  <c r="B51" i="2"/>
  <c r="B48" i="2"/>
  <c r="B40" i="1"/>
  <c r="B34" i="10" l="1"/>
  <c r="B42" i="10" s="1"/>
  <c r="B41" i="10" s="1"/>
  <c r="B43" i="10" s="1"/>
  <c r="B27" i="10"/>
  <c r="B28" i="10" s="1"/>
  <c r="B19" i="10"/>
  <c r="B20" i="10" l="1"/>
  <c r="C7" i="9"/>
  <c r="B21" i="10" l="1"/>
  <c r="C30" i="9"/>
  <c r="B14" i="2"/>
  <c r="C18" i="9"/>
  <c r="B47" i="2"/>
  <c r="B22" i="10" l="1"/>
  <c r="C22" i="10" s="1"/>
  <c r="C21" i="10"/>
  <c r="B23" i="10"/>
  <c r="E26" i="10" s="1"/>
  <c r="B24" i="10"/>
  <c r="B56" i="2"/>
  <c r="C3" i="9"/>
  <c r="D33" i="1"/>
  <c r="C45" i="9"/>
  <c r="B22" i="1"/>
  <c r="B25" i="2"/>
  <c r="B27" i="2"/>
  <c r="E35" i="1"/>
  <c r="A2" i="1"/>
  <c r="E40" i="1"/>
  <c r="C4" i="9"/>
  <c r="C5" i="9"/>
  <c r="C8" i="9"/>
  <c r="C9" i="9"/>
  <c r="C11" i="9"/>
  <c r="C12" i="9"/>
  <c r="C28" i="9" s="1"/>
  <c r="C13" i="9"/>
  <c r="C14" i="9"/>
  <c r="C15" i="9"/>
  <c r="C16" i="9"/>
  <c r="C31" i="9" s="1"/>
  <c r="D5" i="5"/>
  <c r="C6" i="5"/>
  <c r="D6" i="5" s="1"/>
  <c r="F6" i="5" s="1"/>
  <c r="C7" i="5"/>
  <c r="D7" i="5" s="1"/>
  <c r="F7" i="5" s="1"/>
  <c r="C8" i="5"/>
  <c r="C38" i="5" s="1"/>
  <c r="C9" i="5"/>
  <c r="C39" i="5" s="1"/>
  <c r="C10" i="5"/>
  <c r="C40" i="5" s="1"/>
  <c r="D11" i="5"/>
  <c r="F11" i="5" s="1"/>
  <c r="C12" i="5"/>
  <c r="D12" i="5" s="1"/>
  <c r="F12" i="5" s="1"/>
  <c r="B13" i="5"/>
  <c r="B16" i="5" s="1"/>
  <c r="C17" i="5"/>
  <c r="B52" i="5"/>
  <c r="C52" i="5" s="1"/>
  <c r="C18" i="5"/>
  <c r="F18" i="5" s="1"/>
  <c r="C19" i="5"/>
  <c r="C20" i="5"/>
  <c r="C21" i="5"/>
  <c r="C22" i="5"/>
  <c r="B29" i="5"/>
  <c r="B53" i="5" s="1"/>
  <c r="B35" i="5"/>
  <c r="C35" i="5"/>
  <c r="B36" i="5"/>
  <c r="B37" i="5"/>
  <c r="B38" i="5"/>
  <c r="B39" i="5"/>
  <c r="B40" i="5"/>
  <c r="B41" i="5"/>
  <c r="C41" i="5"/>
  <c r="B42" i="5"/>
  <c r="B48" i="5"/>
  <c r="B49" i="5"/>
  <c r="C49" i="5" s="1"/>
  <c r="B50" i="5"/>
  <c r="C50" i="5" s="1"/>
  <c r="B51" i="5"/>
  <c r="C51" i="5" s="1"/>
  <c r="B54" i="5"/>
  <c r="C54" i="5" s="1"/>
  <c r="B17" i="8"/>
  <c r="B29" i="8" s="1"/>
  <c r="B20" i="8" s="1"/>
  <c r="B18" i="3"/>
  <c r="C18" i="3" s="1"/>
  <c r="D18" i="3" s="1"/>
  <c r="E18" i="3" s="1"/>
  <c r="F18" i="3" s="1"/>
  <c r="G18" i="3" s="1"/>
  <c r="H18" i="3" s="1"/>
  <c r="I18" i="3" s="1"/>
  <c r="J18" i="3" s="1"/>
  <c r="K18" i="3" s="1"/>
  <c r="L18" i="3" s="1"/>
  <c r="M18" i="3" s="1"/>
  <c r="N18" i="3" s="1"/>
  <c r="O18" i="3" s="1"/>
  <c r="P18" i="3" s="1"/>
  <c r="Q18" i="3" s="1"/>
  <c r="R18" i="3" s="1"/>
  <c r="S18" i="3" s="1"/>
  <c r="T18" i="3" s="1"/>
  <c r="U18" i="3" s="1"/>
  <c r="B20" i="3"/>
  <c r="B32" i="3"/>
  <c r="C32" i="3" s="1"/>
  <c r="D32" i="3" s="1"/>
  <c r="E32" i="3" s="1"/>
  <c r="F32" i="3" s="1"/>
  <c r="G32" i="3" s="1"/>
  <c r="H32" i="3" s="1"/>
  <c r="I32" i="3" s="1"/>
  <c r="J32" i="3" s="1"/>
  <c r="K32" i="3" s="1"/>
  <c r="M32" i="3"/>
  <c r="N32" i="3" s="1"/>
  <c r="O32" i="3" s="1"/>
  <c r="P32" i="3" s="1"/>
  <c r="Q32" i="3" s="1"/>
  <c r="R32" i="3" s="1"/>
  <c r="S32" i="3" s="1"/>
  <c r="T32" i="3" s="1"/>
  <c r="U32" i="3" s="1"/>
  <c r="B5" i="2"/>
  <c r="B32" i="2" s="1"/>
  <c r="B20" i="2"/>
  <c r="B43" i="2"/>
  <c r="B46" i="2" s="1"/>
  <c r="B7" i="7"/>
  <c r="C8" i="7" s="1"/>
  <c r="B11" i="7" s="1"/>
  <c r="D32" i="1" s="1"/>
  <c r="B20" i="1"/>
  <c r="B21" i="1"/>
  <c r="B23" i="1"/>
  <c r="B26" i="1"/>
  <c r="B27" i="1" s="1"/>
  <c r="E29" i="1"/>
  <c r="B41" i="1"/>
  <c r="E41" i="1" s="1"/>
  <c r="C25" i="9"/>
  <c r="E20" i="1"/>
  <c r="C42" i="5"/>
  <c r="A10" i="4"/>
  <c r="C11" i="4" s="1"/>
  <c r="A11" i="4"/>
  <c r="B38" i="2" l="1"/>
  <c r="D9" i="3" s="1"/>
  <c r="C20" i="3"/>
  <c r="D20" i="3" s="1"/>
  <c r="E20" i="3" s="1"/>
  <c r="F20" i="3" s="1"/>
  <c r="G20" i="3" s="1"/>
  <c r="H20" i="3" s="1"/>
  <c r="I20" i="3" s="1"/>
  <c r="J20" i="3" s="1"/>
  <c r="K20" i="3" s="1"/>
  <c r="L20" i="3" s="1"/>
  <c r="M20" i="3" s="1"/>
  <c r="N20" i="3" s="1"/>
  <c r="O20" i="3" s="1"/>
  <c r="P20" i="3" s="1"/>
  <c r="Q20" i="3" s="1"/>
  <c r="R20" i="3" s="1"/>
  <c r="S20" i="3" s="1"/>
  <c r="T20" i="3" s="1"/>
  <c r="U20" i="3" s="1"/>
  <c r="C37" i="5"/>
  <c r="B24" i="1"/>
  <c r="B38" i="1" s="1"/>
  <c r="C21" i="9"/>
  <c r="C48" i="9" s="1"/>
  <c r="E30" i="4"/>
  <c r="B50" i="2"/>
  <c r="D42" i="1"/>
  <c r="B25" i="10"/>
  <c r="E36" i="10"/>
  <c r="E38" i="10" s="1"/>
  <c r="B33" i="10"/>
  <c r="B36" i="10" s="1"/>
  <c r="E30" i="10"/>
  <c r="E33" i="10" s="1"/>
  <c r="E28" i="10"/>
  <c r="E51" i="4"/>
  <c r="D51" i="4" s="1"/>
  <c r="C26" i="9"/>
  <c r="C39" i="9" s="1"/>
  <c r="C42" i="9"/>
  <c r="E47" i="4"/>
  <c r="D47" i="4" s="1"/>
  <c r="B6" i="2"/>
  <c r="B37" i="2" s="1"/>
  <c r="E38" i="1"/>
  <c r="C36" i="5"/>
  <c r="C46" i="9"/>
  <c r="B12" i="7"/>
  <c r="C13" i="7" s="1"/>
  <c r="C61" i="5"/>
  <c r="C53" i="5"/>
  <c r="C13" i="5"/>
  <c r="C16" i="5" s="1"/>
  <c r="C23" i="5" s="1"/>
  <c r="C43" i="5"/>
  <c r="B43" i="5"/>
  <c r="B47" i="5" s="1"/>
  <c r="B56" i="5" s="1"/>
  <c r="D13" i="5"/>
  <c r="E26" i="1"/>
  <c r="C43" i="9"/>
  <c r="C20" i="9"/>
  <c r="F5" i="5"/>
  <c r="F13" i="5" s="1"/>
  <c r="C55" i="5" s="1"/>
  <c r="C60" i="5"/>
  <c r="B23" i="5"/>
  <c r="C27" i="9"/>
  <c r="C29" i="9" s="1"/>
  <c r="B40" i="2" l="1"/>
  <c r="C47" i="9"/>
  <c r="B21" i="3"/>
  <c r="C21" i="3" s="1"/>
  <c r="C41" i="9"/>
  <c r="E40" i="10"/>
  <c r="E43" i="10" s="1"/>
  <c r="B31" i="3"/>
  <c r="C31" i="3" s="1"/>
  <c r="D31" i="3" s="1"/>
  <c r="E31" i="3" s="1"/>
  <c r="F31" i="3" s="1"/>
  <c r="G31" i="3" s="1"/>
  <c r="H31" i="3" s="1"/>
  <c r="I31" i="3" s="1"/>
  <c r="J31" i="3" s="1"/>
  <c r="K31" i="3" s="1"/>
  <c r="L31" i="3" s="1"/>
  <c r="M31" i="3" s="1"/>
  <c r="N31" i="3" s="1"/>
  <c r="O31" i="3" s="1"/>
  <c r="P31" i="3" s="1"/>
  <c r="Q31" i="3" s="1"/>
  <c r="R31" i="3" s="1"/>
  <c r="S31" i="3" s="1"/>
  <c r="T31" i="3" s="1"/>
  <c r="U31" i="3" s="1"/>
  <c r="B33" i="2"/>
  <c r="B36" i="2" s="1"/>
  <c r="B49" i="2" s="1"/>
  <c r="B52" i="2" s="1"/>
  <c r="B57" i="2" s="1"/>
  <c r="B36" i="1"/>
  <c r="E36" i="1"/>
  <c r="E27" i="1"/>
  <c r="E34" i="1"/>
  <c r="E48" i="1" s="1"/>
  <c r="C46" i="5"/>
  <c r="D28" i="5" s="1"/>
  <c r="C28" i="5" s="1"/>
  <c r="E25" i="1"/>
  <c r="B31" i="1"/>
  <c r="C63" i="5"/>
  <c r="C35" i="9"/>
  <c r="C40" i="9" s="1"/>
  <c r="B29" i="3"/>
  <c r="M29" i="3"/>
  <c r="N29" i="3"/>
  <c r="Q29" i="3"/>
  <c r="R29" i="3"/>
  <c r="U29" i="3"/>
  <c r="D29" i="3"/>
  <c r="F29" i="3"/>
  <c r="C29" i="3"/>
  <c r="G29" i="3"/>
  <c r="J29" i="3"/>
  <c r="L29" i="3"/>
  <c r="I29" i="3"/>
  <c r="K29" i="3"/>
  <c r="H29" i="3"/>
  <c r="S29" i="3"/>
  <c r="T29" i="3"/>
  <c r="P29" i="3"/>
  <c r="O29" i="3"/>
  <c r="E29" i="3"/>
  <c r="B33" i="1" l="1"/>
  <c r="B47" i="4"/>
  <c r="B37" i="1" s="1"/>
  <c r="E42" i="1"/>
  <c r="E7" i="1" s="1"/>
  <c r="D44" i="1" s="1"/>
  <c r="C56" i="5"/>
  <c r="B22" i="3"/>
  <c r="C38" i="9"/>
  <c r="E17" i="1"/>
  <c r="E31" i="1"/>
  <c r="B32" i="1"/>
  <c r="C37" i="9"/>
  <c r="C22" i="3"/>
  <c r="D21" i="3"/>
  <c r="E33" i="1" l="1"/>
  <c r="B51" i="4"/>
  <c r="E37" i="1" s="1"/>
  <c r="B23" i="3"/>
  <c r="C23" i="3"/>
  <c r="E32" i="1"/>
  <c r="C49" i="9"/>
  <c r="D22" i="3"/>
  <c r="D23" i="3" s="1"/>
  <c r="E21" i="3"/>
  <c r="E47" i="1" l="1"/>
  <c r="E49" i="1" s="1"/>
  <c r="B28" i="3"/>
  <c r="C28" i="3" s="1"/>
  <c r="D28" i="3" s="1"/>
  <c r="E28" i="3" s="1"/>
  <c r="F28" i="3" s="1"/>
  <c r="G28" i="3" s="1"/>
  <c r="H28" i="3" s="1"/>
  <c r="I28" i="3" s="1"/>
  <c r="J28" i="3" s="1"/>
  <c r="K28" i="3" s="1"/>
  <c r="L28" i="3" s="1"/>
  <c r="M28" i="3" s="1"/>
  <c r="N28" i="3" s="1"/>
  <c r="O28" i="3" s="1"/>
  <c r="P28" i="3" s="1"/>
  <c r="Q28" i="3" s="1"/>
  <c r="R28" i="3" s="1"/>
  <c r="S28" i="3" s="1"/>
  <c r="T28" i="3" s="1"/>
  <c r="U28" i="3" s="1"/>
  <c r="E22" i="3"/>
  <c r="E23" i="3" s="1"/>
  <c r="F21" i="3"/>
  <c r="G21" i="3" l="1"/>
  <c r="F22" i="3"/>
  <c r="F23" i="3" s="1"/>
  <c r="H21" i="3" l="1"/>
  <c r="G22" i="3"/>
  <c r="G23" i="3" s="1"/>
  <c r="I21" i="3" l="1"/>
  <c r="H22" i="3"/>
  <c r="H23" i="3" s="1"/>
  <c r="J21" i="3" l="1"/>
  <c r="I22" i="3"/>
  <c r="I23" i="3" s="1"/>
  <c r="K21" i="3" l="1"/>
  <c r="J22" i="3"/>
  <c r="J23" i="3" s="1"/>
  <c r="L21" i="3" l="1"/>
  <c r="K22" i="3"/>
  <c r="K23" i="3" s="1"/>
  <c r="M21" i="3" l="1"/>
  <c r="L22" i="3"/>
  <c r="L23" i="3" s="1"/>
  <c r="N21" i="3" l="1"/>
  <c r="M22" i="3"/>
  <c r="M23" i="3" s="1"/>
  <c r="O21" i="3" l="1"/>
  <c r="N22" i="3"/>
  <c r="N23" i="3" s="1"/>
  <c r="P21" i="3" l="1"/>
  <c r="O22" i="3"/>
  <c r="O23" i="3" s="1"/>
  <c r="P22" i="3" l="1"/>
  <c r="P23" i="3" s="1"/>
  <c r="Q21" i="3"/>
  <c r="R21" i="3" l="1"/>
  <c r="Q22" i="3"/>
  <c r="Q23" i="3" s="1"/>
  <c r="S21" i="3" l="1"/>
  <c r="R22" i="3"/>
  <c r="R23" i="3" s="1"/>
  <c r="T21" i="3" l="1"/>
  <c r="S22" i="3"/>
  <c r="S23" i="3" s="1"/>
  <c r="U21" i="3" l="1"/>
  <c r="U22" i="3" s="1"/>
  <c r="U23" i="3" s="1"/>
  <c r="T22" i="3"/>
  <c r="T23" i="3" s="1"/>
  <c r="B39" i="1" l="1"/>
  <c r="B49" i="1" s="1"/>
  <c r="B44" i="1" l="1"/>
  <c r="B45" i="1" s="1"/>
  <c r="C51" i="9" l="1"/>
  <c r="E39" i="1"/>
  <c r="G49" i="1" s="1"/>
  <c r="D39" i="1" l="1"/>
  <c r="G39" i="1"/>
  <c r="E43" i="1"/>
  <c r="E44" i="1" s="1"/>
  <c r="C52" i="9" l="1"/>
  <c r="C54" i="9" s="1"/>
  <c r="G44" i="1"/>
  <c r="E45" i="1"/>
  <c r="G45" i="1" s="1"/>
  <c r="B26" i="2"/>
  <c r="B35" i="2" l="1"/>
  <c r="B41" i="2" s="1"/>
  <c r="B58" i="2" s="1"/>
  <c r="B16" i="2"/>
  <c r="B19" i="2" l="1"/>
  <c r="B23" i="2"/>
  <c r="B24" i="2" s="1"/>
  <c r="B55" i="2" s="1"/>
  <c r="B59" i="2" s="1"/>
  <c r="A62" i="2" s="1"/>
  <c r="B33" i="3"/>
  <c r="B34" i="3" s="1"/>
  <c r="B35" i="3" s="1"/>
  <c r="B27" i="3"/>
  <c r="C33" i="3" l="1"/>
  <c r="C34" i="3" s="1"/>
  <c r="C35" i="3" s="1"/>
  <c r="C27" i="3"/>
  <c r="B38" i="3"/>
  <c r="B39" i="3" s="1"/>
  <c r="B41" i="3"/>
  <c r="B42" i="3" s="1"/>
  <c r="D33" i="3" l="1"/>
  <c r="D34" i="3" s="1"/>
  <c r="D35" i="3" s="1"/>
  <c r="D27" i="3"/>
  <c r="C41" i="3"/>
  <c r="C42" i="3" s="1"/>
  <c r="C38" i="3"/>
  <c r="C39" i="3" s="1"/>
  <c r="E33" i="3" l="1"/>
  <c r="E34" i="3" s="1"/>
  <c r="E35" i="3" s="1"/>
  <c r="E27" i="3"/>
  <c r="D38" i="3"/>
  <c r="D39" i="3" s="1"/>
  <c r="D41" i="3"/>
  <c r="D42" i="3" s="1"/>
  <c r="F33" i="3" l="1"/>
  <c r="F34" i="3" s="1"/>
  <c r="F35" i="3" s="1"/>
  <c r="F27" i="3"/>
  <c r="E41" i="3"/>
  <c r="E42" i="3" s="1"/>
  <c r="E38" i="3"/>
  <c r="E39" i="3" s="1"/>
  <c r="G27" i="3" l="1"/>
  <c r="G33" i="3"/>
  <c r="G34" i="3" s="1"/>
  <c r="G35" i="3" s="1"/>
  <c r="F38" i="3"/>
  <c r="F39" i="3" s="1"/>
  <c r="F41" i="3"/>
  <c r="F42" i="3" s="1"/>
  <c r="G41" i="3" l="1"/>
  <c r="G42" i="3" s="1"/>
  <c r="G38" i="3"/>
  <c r="G39" i="3" s="1"/>
  <c r="H27" i="3"/>
  <c r="H33" i="3"/>
  <c r="H34" i="3" s="1"/>
  <c r="H35" i="3" s="1"/>
  <c r="H38" i="3" l="1"/>
  <c r="H39" i="3" s="1"/>
  <c r="H41" i="3"/>
  <c r="H42" i="3" s="1"/>
  <c r="I33" i="3"/>
  <c r="I34" i="3" s="1"/>
  <c r="I35" i="3" s="1"/>
  <c r="I27" i="3"/>
  <c r="I38" i="3" l="1"/>
  <c r="I39" i="3" s="1"/>
  <c r="I41" i="3"/>
  <c r="I42" i="3" s="1"/>
  <c r="J27" i="3"/>
  <c r="J33" i="3"/>
  <c r="J34" i="3" s="1"/>
  <c r="J35" i="3" s="1"/>
  <c r="K27" i="3" l="1"/>
  <c r="K33" i="3"/>
  <c r="K34" i="3" s="1"/>
  <c r="K35" i="3" s="1"/>
  <c r="J38" i="3"/>
  <c r="J39" i="3" s="1"/>
  <c r="J41" i="3"/>
  <c r="J42" i="3" s="1"/>
  <c r="L33" i="3" l="1"/>
  <c r="L34" i="3" s="1"/>
  <c r="L35" i="3" s="1"/>
  <c r="L27" i="3"/>
  <c r="K38" i="3"/>
  <c r="K39" i="3" s="1"/>
  <c r="K41" i="3"/>
  <c r="K42" i="3" s="1"/>
  <c r="L38" i="3" l="1"/>
  <c r="L39" i="3" s="1"/>
  <c r="L41" i="3"/>
  <c r="L42" i="3" s="1"/>
  <c r="M33" i="3"/>
  <c r="M34" i="3" s="1"/>
  <c r="M35" i="3" s="1"/>
  <c r="M27" i="3"/>
  <c r="N27" i="3" l="1"/>
  <c r="N33" i="3"/>
  <c r="N34" i="3" s="1"/>
  <c r="N35" i="3" s="1"/>
  <c r="M41" i="3"/>
  <c r="M42" i="3" s="1"/>
  <c r="M38" i="3"/>
  <c r="M39" i="3" s="1"/>
  <c r="N38" i="3" l="1"/>
  <c r="N39" i="3" s="1"/>
  <c r="N41" i="3"/>
  <c r="N42" i="3" s="1"/>
  <c r="O33" i="3"/>
  <c r="O34" i="3" s="1"/>
  <c r="O35" i="3" s="1"/>
  <c r="O27" i="3"/>
  <c r="O38" i="3" l="1"/>
  <c r="O39" i="3" s="1"/>
  <c r="O41" i="3"/>
  <c r="O42" i="3" s="1"/>
  <c r="P27" i="3"/>
  <c r="P33" i="3"/>
  <c r="P34" i="3" s="1"/>
  <c r="P35" i="3" s="1"/>
  <c r="P38" i="3" l="1"/>
  <c r="P39" i="3" s="1"/>
  <c r="P41" i="3"/>
  <c r="P42" i="3" s="1"/>
  <c r="Q27" i="3"/>
  <c r="Q33" i="3"/>
  <c r="Q34" i="3" s="1"/>
  <c r="Q35" i="3" s="1"/>
  <c r="Q41" i="3" l="1"/>
  <c r="Q42" i="3" s="1"/>
  <c r="Q38" i="3"/>
  <c r="Q39" i="3" s="1"/>
  <c r="R27" i="3"/>
  <c r="R33" i="3"/>
  <c r="R34" i="3" s="1"/>
  <c r="R35" i="3" s="1"/>
  <c r="S33" i="3" l="1"/>
  <c r="S34" i="3" s="1"/>
  <c r="S35" i="3" s="1"/>
  <c r="S27" i="3"/>
  <c r="R41" i="3"/>
  <c r="R42" i="3" s="1"/>
  <c r="R38" i="3"/>
  <c r="R39" i="3" s="1"/>
  <c r="T27" i="3" l="1"/>
  <c r="T33" i="3"/>
  <c r="T34" i="3" s="1"/>
  <c r="T35" i="3" s="1"/>
  <c r="S41" i="3"/>
  <c r="S42" i="3" s="1"/>
  <c r="S38" i="3"/>
  <c r="S39" i="3" s="1"/>
  <c r="U33" i="3" l="1"/>
  <c r="U34" i="3" s="1"/>
  <c r="U35" i="3" s="1"/>
  <c r="U27" i="3"/>
  <c r="T41" i="3"/>
  <c r="T42" i="3" s="1"/>
  <c r="T38" i="3"/>
  <c r="T39" i="3" s="1"/>
  <c r="U38" i="3" l="1"/>
  <c r="U39" i="3" s="1"/>
  <c r="U41" i="3"/>
  <c r="U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Henri Pellemans</author>
  </authors>
  <commentList>
    <comment ref="A12" authorId="0" shapeId="0" xr:uid="{89B55BC9-9FCD-40A1-A342-28D2DCC86C12}">
      <text>
        <r>
          <rPr>
            <sz val="8"/>
            <color indexed="81"/>
            <rFont val="Tahoma"/>
            <family val="2"/>
          </rPr>
          <t>Gelet op de afbouw van de heffingskortingen zal bij een inkomen van enige omvang al snel sprake zijn van een marginaal tarief IB plus bijdrage Zvw van 40%.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Henry Meijer</author>
  </authors>
  <commentList>
    <comment ref="A11" authorId="0" shapeId="0" xr:uid="{00000000-0006-0000-0100-000001000000}">
      <text>
        <r>
          <rPr>
            <sz val="8"/>
            <color indexed="81"/>
            <rFont val="Tahoma"/>
            <family val="2"/>
          </rPr>
          <t xml:space="preserve">Het dividend dat netto gelijk is aan het netto salaris dat wordt ingeleverd.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Henry Meijer</author>
    <author>Henri Pellemans</author>
    <author>Henry Meijer/MFAS</author>
    <author xml:space="preserve"> </author>
  </authors>
  <commentList>
    <comment ref="A7" authorId="0" shapeId="0" xr:uid="{00000000-0006-0000-0200-000001000000}">
      <text>
        <r>
          <rPr>
            <sz val="8"/>
            <color indexed="81"/>
            <rFont val="Tahoma"/>
            <family val="2"/>
          </rPr>
          <t xml:space="preserve">Is van belang voor de hoogte van de lijfrenteaftrek.
</t>
        </r>
      </text>
    </comment>
    <comment ref="A8" authorId="0" shapeId="0" xr:uid="{00000000-0006-0000-0200-000002000000}">
      <text>
        <r>
          <rPr>
            <sz val="8"/>
            <color indexed="81"/>
            <rFont val="Tahoma"/>
            <family val="2"/>
          </rPr>
          <t xml:space="preserve">Voor ondernemers tot AOW-leeftijd - 15 wordt de lijfrenteaftrek verdubbeld als de uitkeringen direct ingaan.
</t>
        </r>
      </text>
    </comment>
    <comment ref="A12" authorId="1" shapeId="0" xr:uid="{A7FE3862-A06C-4508-A115-D3413617B879}">
      <text>
        <r>
          <rPr>
            <b/>
            <sz val="8"/>
            <color indexed="81"/>
            <rFont val="Tahoma"/>
            <family val="2"/>
          </rPr>
          <t xml:space="preserve">Invoeringswet IB 2001 S </t>
        </r>
        <r>
          <rPr>
            <sz val="8"/>
            <color indexed="81"/>
            <rFont val="Tahoma"/>
            <family val="2"/>
          </rPr>
          <t xml:space="preserve">
Voor de toepassing van artikel 3.129, lid 1 en 3 Wet IB 2001 behoren mede tot de reeds opgebouwde voorzieningen de bedragen die op grond van artikel 45a, lid 2 t/m 5 Wet IB 1964, zoals die bepalingen luidden vóór 1 januari 2001, in de voorafgaande kalenderjaren in aanmerking zijn genomen.
</t>
        </r>
      </text>
    </comment>
    <comment ref="A22" authorId="0" shapeId="0" xr:uid="{00000000-0006-0000-0200-000003000000}">
      <text>
        <r>
          <rPr>
            <sz val="8"/>
            <color indexed="81"/>
            <rFont val="Tahoma"/>
            <family val="2"/>
          </rPr>
          <t xml:space="preserve">MKB-winstvrijstelling geldt bij geruisloze inbreng ook voor de oudedagsreserve. Daarom wordt dit element bij ruisende inbreng niet meegenomen. De MKB-winstvrijstelling over de stakingswinst komt in mindering op de jaarwinst.
</t>
        </r>
      </text>
    </comment>
    <comment ref="A24" authorId="2" shapeId="0" xr:uid="{00000000-0006-0000-0200-000004000000}">
      <text>
        <r>
          <rPr>
            <sz val="8"/>
            <color indexed="81"/>
            <rFont val="Tahoma"/>
            <family val="2"/>
          </rPr>
          <t xml:space="preserve">Voordeel MKB-winstvrijstelling wordt apart meegenomen.
</t>
        </r>
      </text>
    </comment>
    <comment ref="A25" authorId="2" shapeId="0" xr:uid="{00000000-0006-0000-0200-000005000000}">
      <text>
        <r>
          <rPr>
            <sz val="8"/>
            <color indexed="81"/>
            <rFont val="Tahoma"/>
            <family val="2"/>
          </rPr>
          <t xml:space="preserve">De gedachte is maximaal gebruik te maken van de uitgestelde lijfrente.
</t>
        </r>
      </text>
    </comment>
    <comment ref="A27" authorId="0" shapeId="0" xr:uid="{00000000-0006-0000-0200-000006000000}">
      <text>
        <r>
          <rPr>
            <sz val="8"/>
            <color indexed="81"/>
            <rFont val="Tahoma"/>
            <family val="2"/>
          </rPr>
          <t xml:space="preserve">Lijfrente in verband met de oudedagsreserve buiten beschouwing, omdat deze ook bij geruisloze inbreng van toepassing is.
</t>
        </r>
      </text>
    </comment>
    <comment ref="A33" authorId="0" shapeId="0" xr:uid="{00000000-0006-0000-0200-000007000000}">
      <text>
        <r>
          <rPr>
            <sz val="8"/>
            <color indexed="81"/>
            <rFont val="Tahoma"/>
            <family val="2"/>
          </rPr>
          <t xml:space="preserve">Gemiddelde van aantal jaren aanvang uitkeringen en levensverwachting.
</t>
        </r>
      </text>
    </comment>
    <comment ref="A34" authorId="1" shapeId="0" xr:uid="{5AFD901E-231E-458D-BEB6-CE958B236B6E}">
      <text>
        <r>
          <rPr>
            <sz val="8"/>
            <color indexed="81"/>
            <rFont val="Tahoma"/>
            <family val="2"/>
          </rPr>
          <t>Gelet op de afbouw van de heffingskortingen zal bij een inkomen van enige omvang al snel sprake zijn van een marginaal tarief IB plus bijdrage Zvw van 40%.</t>
        </r>
      </text>
    </comment>
    <comment ref="A37" authorId="0" shapeId="0" xr:uid="{00000000-0006-0000-0200-000008000000}">
      <text>
        <r>
          <rPr>
            <sz val="8"/>
            <color indexed="81"/>
            <rFont val="Tahoma"/>
            <family val="2"/>
          </rPr>
          <t xml:space="preserve">De helft van de levensverwachting.
</t>
        </r>
      </text>
    </comment>
    <comment ref="A38" authorId="0" shapeId="0" xr:uid="{00000000-0006-0000-0200-000009000000}">
      <text>
        <r>
          <rPr>
            <sz val="8"/>
            <color indexed="81"/>
            <rFont val="Tahoma"/>
            <family val="2"/>
          </rPr>
          <t xml:space="preserve">Lijfrente ter zake van de oudedagsreserve, jaarruimte en reserveringsruimte.
</t>
        </r>
      </text>
    </comment>
    <comment ref="A41" authorId="0" shapeId="0" xr:uid="{00000000-0006-0000-0200-00000A000000}">
      <text>
        <r>
          <rPr>
            <sz val="8"/>
            <color indexed="81"/>
            <rFont val="Tahoma"/>
            <family val="2"/>
          </rPr>
          <t xml:space="preserve">Totaal IB direct ingaande en uitgestelde lijfrenteuitkeringen.
</t>
        </r>
      </text>
    </comment>
    <comment ref="A50" authorId="3" shapeId="0" xr:uid="{00000000-0006-0000-0200-00000B000000}">
      <text>
        <r>
          <rPr>
            <sz val="8"/>
            <color indexed="81"/>
            <rFont val="Tahoma"/>
            <family val="2"/>
          </rPr>
          <t xml:space="preserve">Berekend op basis van VPB-claim (contante waarde) in plaats van nominaal VPB-tarief.
</t>
        </r>
      </text>
    </comment>
    <comment ref="A51" authorId="3" shapeId="0" xr:uid="{00000000-0006-0000-0200-00000C000000}">
      <text>
        <r>
          <rPr>
            <sz val="8"/>
            <color indexed="81"/>
            <rFont val="Tahoma"/>
            <family val="2"/>
          </rPr>
          <t>Bij geruisloze inbreng is stakingsaftrek van toepassing indien er sprake is van afneming oudedagsreserve</t>
        </r>
      </text>
    </comment>
    <comment ref="A56" authorId="0" shapeId="0" xr:uid="{00000000-0006-0000-0200-00000D000000}">
      <text>
        <r>
          <rPr>
            <sz val="8"/>
            <color indexed="81"/>
            <rFont val="Tahoma"/>
            <family val="2"/>
          </rPr>
          <t xml:space="preserve">De MKB-winstvrijstelling over de vrijval van de oudedagsreserve geldt ook bij geruisloze inbreng.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Henry Meijer</author>
    <author>Henri Pellemans</author>
    <author>A satisfied Microsoft Office user</author>
    <author xml:space="preserve"> </author>
  </authors>
  <commentList>
    <comment ref="A7" authorId="0" shapeId="0" xr:uid="{00000000-0006-0000-0300-000001000000}">
      <text>
        <r>
          <rPr>
            <sz val="8"/>
            <color indexed="81"/>
            <rFont val="Tahoma"/>
            <family val="2"/>
          </rPr>
          <t>Wordt overgenomen van vorige werkblad.</t>
        </r>
      </text>
    </comment>
    <comment ref="A8" authorId="0" shapeId="0" xr:uid="{00000000-0006-0000-0300-000002000000}">
      <text>
        <r>
          <rPr>
            <sz val="8"/>
            <color indexed="81"/>
            <rFont val="Tahoma"/>
            <family val="2"/>
          </rPr>
          <t xml:space="preserve">Leidt tot een VPB-besparing.
</t>
        </r>
      </text>
    </comment>
    <comment ref="A9" authorId="0" shapeId="0" xr:uid="{00000000-0006-0000-0300-000003000000}">
      <text>
        <r>
          <rPr>
            <sz val="8"/>
            <color indexed="81"/>
            <rFont val="Tahoma"/>
            <family val="2"/>
          </rPr>
          <t xml:space="preserve">De lijfrenteuitkering is geschat op basis van de koopsom, een rente gelijk aan de oprenting voor een gerichte lijfrente en een looptijd tot aan leeftijd 87 jaar.
</t>
        </r>
      </text>
    </comment>
    <comment ref="A15" authorId="1" shapeId="0" xr:uid="{248D61DD-93E0-4898-A2F9-8E80FF4E93F4}">
      <text>
        <r>
          <rPr>
            <sz val="8"/>
            <color indexed="81"/>
            <rFont val="Tahoma"/>
            <family val="2"/>
          </rPr>
          <t>Gelet op de afbouw van de heffingskortingen zal bij een inkomen van enige omvang al snel sprake zijn van een marginaal tarief IB plus bijdrage Zvw van 40%.</t>
        </r>
      </text>
    </comment>
    <comment ref="A20" authorId="2" shapeId="0" xr:uid="{00000000-0006-0000-0300-000004000000}">
      <text>
        <r>
          <rPr>
            <sz val="8"/>
            <color indexed="81"/>
            <rFont val="Tahoma"/>
            <family val="2"/>
          </rPr>
          <t xml:space="preserve">Het is mogelijk voor de jaren 2 t/m 20 afwijkende winstbedragen in te voeren.
</t>
        </r>
      </text>
    </comment>
    <comment ref="A21" authorId="2" shapeId="0" xr:uid="{00000000-0006-0000-0300-000005000000}">
      <text>
        <r>
          <rPr>
            <sz val="8"/>
            <color indexed="81"/>
            <rFont val="Tahoma"/>
            <family val="2"/>
          </rPr>
          <t xml:space="preserve">Constant verondersteld.
</t>
        </r>
      </text>
    </comment>
    <comment ref="A31" authorId="2" shapeId="0" xr:uid="{00000000-0006-0000-0300-000006000000}">
      <text>
        <r>
          <rPr>
            <sz val="8"/>
            <color indexed="81"/>
            <rFont val="Tahoma"/>
            <family val="2"/>
          </rPr>
          <t xml:space="preserve">Pensioendotatie constant verondersteld.
</t>
        </r>
      </text>
    </comment>
    <comment ref="A39" authorId="3" shapeId="0" xr:uid="{00000000-0006-0000-0300-000007000000}">
      <text>
        <r>
          <rPr>
            <sz val="8"/>
            <color indexed="81"/>
            <rFont val="Tahoma"/>
            <family val="2"/>
          </rPr>
          <t xml:space="preserve">Rendement jaar tijdsevenredig (50%) berekend.
</t>
        </r>
      </text>
    </comment>
    <comment ref="A41" authorId="3" shapeId="0" xr:uid="{00000000-0006-0000-0300-000008000000}">
      <text>
        <r>
          <rPr>
            <sz val="8"/>
            <color indexed="81"/>
            <rFont val="Tahoma"/>
            <family val="2"/>
          </rPr>
          <t xml:space="preserve">Winst minus salaris, minus dividend minus extra kosten BV minus VPB.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Henry Meijer/MFAS</author>
  </authors>
  <commentList>
    <comment ref="A47" authorId="0" shapeId="0" xr:uid="{00000000-0006-0000-0500-000001000000}">
      <text>
        <r>
          <rPr>
            <sz val="8"/>
            <color indexed="81"/>
            <rFont val="Tahoma"/>
            <family val="2"/>
          </rPr>
          <t xml:space="preserve">Exclusief effect landbouwvrijstelling. Zie hieronder.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Henry Meijer</author>
  </authors>
  <commentList>
    <comment ref="A17" authorId="0" shapeId="0" xr:uid="{D0E00FA0-6755-4676-8C8E-CB76F2B580FB}">
      <text>
        <r>
          <rPr>
            <sz val="8"/>
            <color indexed="81"/>
            <rFont val="Tahoma"/>
            <family val="2"/>
          </rPr>
          <t xml:space="preserve">Naar rato winstverdeling.
</t>
        </r>
      </text>
    </comment>
    <comment ref="A23" authorId="0" shapeId="0" xr:uid="{99208FF9-5030-4900-A2C0-0C0B6EBC53BE}">
      <text>
        <r>
          <rPr>
            <sz val="8"/>
            <color indexed="81"/>
            <rFont val="Tahoma"/>
            <family val="2"/>
          </rPr>
          <t xml:space="preserve">Vanwege verschil in kapitaalrekening firma.
</t>
        </r>
      </text>
    </comment>
    <comment ref="A24" authorId="0" shapeId="0" xr:uid="{8FFD9343-B432-4591-B3BD-73EF54CC0A63}">
      <text>
        <r>
          <rPr>
            <sz val="8"/>
            <color indexed="81"/>
            <rFont val="Tahoma"/>
            <family val="2"/>
          </rPr>
          <t xml:space="preserve">Vanwege verschil in kapitaalrekening firma.
</t>
        </r>
      </text>
    </comment>
    <comment ref="A31" authorId="0" shapeId="0" xr:uid="{2584C5D7-EFFE-4C05-B55C-F3434C89E4DD}">
      <text>
        <r>
          <rPr>
            <sz val="8"/>
            <color indexed="81"/>
            <rFont val="Tahoma"/>
            <family val="2"/>
          </rPr>
          <t xml:space="preserve">Gesaldeerd met operationele passiva.
</t>
        </r>
      </text>
    </comment>
    <comment ref="A39" authorId="0" shapeId="0" xr:uid="{13D0FA0B-62C2-45C9-9F2D-C1352A9E7EBD}">
      <text>
        <r>
          <rPr>
            <sz val="8"/>
            <color indexed="81"/>
            <rFont val="Tahoma"/>
            <family val="2"/>
          </rPr>
          <t xml:space="preserve">Gesaldeerd met operationele passiva.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Henry Meijer</author>
    <author>nverhoeven</author>
    <author xml:space="preserve"> </author>
  </authors>
  <commentList>
    <comment ref="A4" authorId="0" shapeId="0" xr:uid="{00000000-0006-0000-0700-000001000000}">
      <text>
        <r>
          <rPr>
            <sz val="8"/>
            <color indexed="81"/>
            <rFont val="Tahoma"/>
            <family val="2"/>
          </rPr>
          <t xml:space="preserve">Van belang voor uitstelperiode pensioen- en lijfrenteuitkeringen.
</t>
        </r>
      </text>
    </comment>
    <comment ref="A12" authorId="0" shapeId="0" xr:uid="{00000000-0006-0000-0700-000002000000}">
      <text>
        <r>
          <rPr>
            <sz val="8"/>
            <color indexed="81"/>
            <rFont val="Tahoma"/>
            <family val="2"/>
          </rPr>
          <t xml:space="preserve">Wordt gesaldeerd met dotatie oudedagsreserve en pensioenreservering.
</t>
        </r>
      </text>
    </comment>
    <comment ref="A20" authorId="0" shapeId="0" xr:uid="{00000000-0006-0000-0700-000004000000}">
      <text>
        <r>
          <rPr>
            <sz val="8"/>
            <color indexed="81"/>
            <rFont val="Tahoma"/>
            <family val="2"/>
          </rPr>
          <t xml:space="preserve">Indien de winst jaarlijks als dividend wordt uitgekeerd 0 invullen. De AB-claim wordt berekend op contante waarde tegen de disconteringsvoet en op basis van het hier in te vullen aantal jaren. Het model zet er standaard het aantal jaren tot pensionering neer. U kunt dit overschrijven.
</t>
        </r>
      </text>
    </comment>
    <comment ref="A30" authorId="0" shapeId="0" xr:uid="{00000000-0006-0000-0700-000006000000}">
      <text>
        <r>
          <rPr>
            <sz val="8"/>
            <color indexed="81"/>
            <rFont val="Tahoma"/>
            <family val="2"/>
          </rPr>
          <t>Er wordt rekening gehoud met de eventuele Hillen-correctie.</t>
        </r>
      </text>
    </comment>
    <comment ref="A31" authorId="1" shapeId="0" xr:uid="{00000000-0006-0000-0700-000007000000}">
      <text>
        <r>
          <rPr>
            <sz val="8"/>
            <color indexed="81"/>
            <rFont val="Tahoma"/>
            <family val="2"/>
          </rPr>
          <t>Geen rekening wordt gehouden met de beperking van de renteaftrek in de hoogste schijf.</t>
        </r>
      </text>
    </comment>
    <comment ref="A32" authorId="2" shapeId="0" xr:uid="{00000000-0006-0000-0700-000008000000}">
      <text>
        <r>
          <rPr>
            <sz val="8"/>
            <color indexed="81"/>
            <rFont val="Tahoma"/>
            <family val="2"/>
          </rPr>
          <t xml:space="preserve">Als negatief bedrag invullen.
</t>
        </r>
      </text>
    </comment>
    <comment ref="A33" authorId="0" shapeId="0" xr:uid="{00000000-0006-0000-0700-000009000000}">
      <text>
        <r>
          <rPr>
            <sz val="8"/>
            <color indexed="81"/>
            <rFont val="Tahoma"/>
            <family val="2"/>
          </rPr>
          <t xml:space="preserve">Als negatief bedrag invullen.
</t>
        </r>
      </text>
    </comment>
    <comment ref="A34" authorId="0" shapeId="0" xr:uid="{00000000-0006-0000-0700-00000A000000}">
      <text>
        <r>
          <rPr>
            <sz val="8"/>
            <color indexed="81"/>
            <rFont val="Tahoma"/>
            <family val="2"/>
          </rPr>
          <t xml:space="preserve">Bijvoorbeeld salaris of overige werkzaamheden.
</t>
        </r>
      </text>
    </comment>
    <comment ref="A42" authorId="0" shapeId="0" xr:uid="{00000000-0006-0000-0700-00000B000000}">
      <text>
        <r>
          <rPr>
            <sz val="8"/>
            <color indexed="81"/>
            <rFont val="Tahoma"/>
            <family val="2"/>
          </rPr>
          <t xml:space="preserve">Op contante waarde gewaardeerd.
</t>
        </r>
      </text>
    </comment>
    <comment ref="A43" authorId="0" shapeId="0" xr:uid="{00000000-0006-0000-0700-00000C000000}">
      <text>
        <r>
          <rPr>
            <sz val="8"/>
            <color indexed="81"/>
            <rFont val="Tahoma"/>
            <family val="2"/>
          </rPr>
          <t xml:space="preserve">Op contante waarde gewaardeerd.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Henry Meijer</author>
  </authors>
  <commentList>
    <comment ref="D30" authorId="0" shapeId="0" xr:uid="{B1E3CF60-1C09-44D9-AB27-80972AC01F2C}">
      <text>
        <r>
          <rPr>
            <sz val="8"/>
            <color indexed="81"/>
            <rFont val="Tahoma"/>
            <family val="2"/>
          </rPr>
          <t xml:space="preserve">Desgewenst handmatig wijzigen.
</t>
        </r>
      </text>
    </comment>
  </commentList>
</comments>
</file>

<file path=xl/sharedStrings.xml><?xml version="1.0" encoding="utf-8"?>
<sst xmlns="http://schemas.openxmlformats.org/spreadsheetml/2006/main" count="467" uniqueCount="346">
  <si>
    <t>Geschat aantal jaren tot heffing box 2</t>
  </si>
  <si>
    <t>Leeftijd ondernemer</t>
  </si>
  <si>
    <t>Leeftijd pensionering</t>
  </si>
  <si>
    <t>Premie beroepspensioen</t>
  </si>
  <si>
    <t>Geschat IB-tarief lijfrente, pensioen</t>
  </si>
  <si>
    <t>Disconteringsvoet fiscale claims</t>
  </si>
  <si>
    <t>WOZ-waarde woning</t>
  </si>
  <si>
    <t>Renteaftrek eigen woning</t>
  </si>
  <si>
    <t>Winst</t>
  </si>
  <si>
    <t>Eigenwoningforfait</t>
  </si>
  <si>
    <t>Belastbaar inkomen box 1</t>
  </si>
  <si>
    <t>Vennootschapsbelasting</t>
  </si>
  <si>
    <t>IB-claim beroepspensioen</t>
  </si>
  <si>
    <t>Berekening maximaal beschikbare stakingslijfrenteaftrek</t>
  </si>
  <si>
    <t>Ondernemer is invalide, ja/nee</t>
  </si>
  <si>
    <t>nee</t>
  </si>
  <si>
    <t>Aanspraken verplichte pensioenregelingen</t>
  </si>
  <si>
    <t>Maximale vrijstelling na imputaties</t>
  </si>
  <si>
    <t>Afschrijvingstermijn goodwill</t>
  </si>
  <si>
    <t>Jaarlijks liquiditeitsvoordeel goodwillafschrijving</t>
  </si>
  <si>
    <t>Contante waarde IB lijfrenteuitkeringen</t>
  </si>
  <si>
    <t>Voordeel</t>
  </si>
  <si>
    <t>Marginaal IB-tarief direct ingaande lijfrente</t>
  </si>
  <si>
    <t>IB-onderneming</t>
  </si>
  <si>
    <t>Overige bijtel- en aftrekposten IB</t>
  </si>
  <si>
    <t>Inkomen box 1</t>
  </si>
  <si>
    <t>Winst nà correcties</t>
  </si>
  <si>
    <t>Goodwill</t>
  </si>
  <si>
    <t>Activa</t>
  </si>
  <si>
    <t>Pand</t>
  </si>
  <si>
    <t>Machines</t>
  </si>
  <si>
    <t>Inventaris</t>
  </si>
  <si>
    <t>Debiteuren</t>
  </si>
  <si>
    <t>Liquiditeiten</t>
  </si>
  <si>
    <t>Overige</t>
  </si>
  <si>
    <t>Passiva</t>
  </si>
  <si>
    <t>Fiscaal vermogen exclusief oudedagsreserve</t>
  </si>
  <si>
    <t>Oudedagsreserve</t>
  </si>
  <si>
    <t>Bank</t>
  </si>
  <si>
    <t>Herinvesteringsreserve</t>
  </si>
  <si>
    <t>Egalisatiereserve</t>
  </si>
  <si>
    <t>Overige schulden</t>
  </si>
  <si>
    <t>Transitorische posten</t>
  </si>
  <si>
    <t>Openingsbalans geruisloze inbreng</t>
  </si>
  <si>
    <t>Totaal</t>
  </si>
  <si>
    <t>fiscaal</t>
  </si>
  <si>
    <t>meerwaarde</t>
  </si>
  <si>
    <t>latentie (€)</t>
  </si>
  <si>
    <t>latentie %</t>
  </si>
  <si>
    <t>Op overgangstijdstip verschuldigde IB etc.</t>
  </si>
  <si>
    <t>commercieel</t>
  </si>
  <si>
    <t>Lijfrenteverplichting</t>
  </si>
  <si>
    <t>Creditering aandeelhouder</t>
  </si>
  <si>
    <t>Totale creditering</t>
  </si>
  <si>
    <t>Belastinglatentie</t>
  </si>
  <si>
    <t>Slotbalans IB-onderneming na eventuele onttrekking activa</t>
  </si>
  <si>
    <t xml:space="preserve">Aandelenkapitaal, agio </t>
  </si>
  <si>
    <r>
      <t>Fiscaal vermogen</t>
    </r>
    <r>
      <rPr>
        <sz val="8"/>
        <color indexed="10"/>
        <rFont val="Arial"/>
        <family val="2"/>
      </rPr>
      <t xml:space="preserve"> (= verkrijgingsprijs aanmerkelijk belang)</t>
    </r>
  </si>
  <si>
    <t>Herleiding verkrijgingsprijs aanmerkelijk belang</t>
  </si>
  <si>
    <t>Af: creditering</t>
  </si>
  <si>
    <t>Verkrijgingsprijs aanmerkelijk belang</t>
  </si>
  <si>
    <t>werkelijk</t>
  </si>
  <si>
    <t>Op deze plaats wordt  ook de verkrijgingsprijs voor het aanmerkelijk belang berekend.</t>
  </si>
  <si>
    <t>Maximale vrijstelling vóór imputaties</t>
  </si>
  <si>
    <t>Direct ingaande uitkeringen lijfrente stakingslijfrente ja/nee</t>
  </si>
  <si>
    <t>Geschatte leeftijd einde levenslange lijfrenteuitkering</t>
  </si>
  <si>
    <t>Leeftijd ingang oudedagslijfrente</t>
  </si>
  <si>
    <t>Gemiddelde periode uitstel heffing over uitgestelde lijfrenteuitkeringen</t>
  </si>
  <si>
    <t>Geschat IB-tarief direct ingaande lijfrente</t>
  </si>
  <si>
    <t>Contante waarde IB direct ingaande lijfrente</t>
  </si>
  <si>
    <t>Gemiddelde periode uitstel heffing over direct ingaande lijfrenteuitkeringen</t>
  </si>
  <si>
    <t>Totaal contante waarde IB lijfrentuitkeringen</t>
  </si>
  <si>
    <t>Totaal direct ingaande lijfrente</t>
  </si>
  <si>
    <t>Conclusie:</t>
  </si>
  <si>
    <t>Totaal belasting excl. fiscale claims</t>
  </si>
  <si>
    <t>Af: rente eigen woning</t>
  </si>
  <si>
    <t>Af: persoonsgebonden aftrek</t>
  </si>
  <si>
    <t>Af: zelfstandigenaftrek</t>
  </si>
  <si>
    <t>Af: premie beroepspensioen</t>
  </si>
  <si>
    <t>Inkomstenbelasting box 1</t>
  </si>
  <si>
    <t xml:space="preserve">Totaal belasting incl. fiscale claims </t>
  </si>
  <si>
    <t>Belastingberekening</t>
  </si>
  <si>
    <t>Gewogen gemiddeld IB-tarief</t>
  </si>
  <si>
    <t>Marginaal IB-tarief</t>
  </si>
  <si>
    <t>Is netto</t>
  </si>
  <si>
    <t>Benodigd dividend</t>
  </si>
  <si>
    <t>Vervanging salaris door dividend</t>
  </si>
  <si>
    <t>Afschrijving goodwill (10 jaar)</t>
  </si>
  <si>
    <t>IB over salaris</t>
  </si>
  <si>
    <t>Belastingvoordeel MKB-winstvrijstelling stakingswinst</t>
  </si>
  <si>
    <t>Direct af te rekenen stille reserve en goodwill</t>
  </si>
  <si>
    <t>Af: MKB-winstvrijstelling</t>
  </si>
  <si>
    <t>Overige inkomsten box 1</t>
  </si>
  <si>
    <t>Te benutten jaarruimte en reserveringsruimte</t>
  </si>
  <si>
    <t>Af: investeringsaftrek</t>
  </si>
  <si>
    <t>ja</t>
  </si>
  <si>
    <t>Jaar berekening</t>
  </si>
  <si>
    <t>Investeringsaftrek</t>
  </si>
  <si>
    <t>Urencriterium van toepassing</t>
  </si>
  <si>
    <t>WEVAB landbouwgrond</t>
  </si>
  <si>
    <t>Stijging WEVAB per jaar</t>
  </si>
  <si>
    <t>Balansdatum</t>
  </si>
  <si>
    <t>Rekening houden met startersaftrek?</t>
  </si>
  <si>
    <t>Liquiditeitsvoordeel cumulatief opgerent</t>
  </si>
  <si>
    <t>IB over lijfrente</t>
  </si>
  <si>
    <t>ultimo</t>
  </si>
  <si>
    <t>Voordeel stakingsaftrek</t>
  </si>
  <si>
    <t>Totaal saldo fiscale claims</t>
  </si>
  <si>
    <t>Fiscale claims bij geruisloze inbreng</t>
  </si>
  <si>
    <t>Fiscale claims bij ruisende inbreng</t>
  </si>
  <si>
    <t>Cumulatief</t>
  </si>
  <si>
    <t>Geruisloze inbreng is het meest eenvoudig. Het is de aangewezen weg bij zeer hoge meer-</t>
  </si>
  <si>
    <t>In geval van een uitgestelde lijfrente wordt de gemiddelde looptijd van de uitkeringen bepaald</t>
  </si>
  <si>
    <t xml:space="preserve">op het aantal jaren tot ingang plus de helft van het aantal jaren van ingang tot einde. Bij een </t>
  </si>
  <si>
    <t xml:space="preserve">Met behulp van dit tabblad kan de fiscale en de commerciële openingsbalans bij geruisloze </t>
  </si>
  <si>
    <t>inbreng worden gegenereerd. Het model gaat er voor bepaalde categorieën vermogens-</t>
  </si>
  <si>
    <t>bestanddelen vanuit dat daarin geen stille reserves schuil gaan.</t>
  </si>
  <si>
    <t>Dividend</t>
  </si>
  <si>
    <t>Ruisend</t>
  </si>
  <si>
    <t>Liquiditeitsvoordeel</t>
  </si>
  <si>
    <t>VPB-tarief hoog</t>
  </si>
  <si>
    <t>VPB</t>
  </si>
  <si>
    <t>VPB-tarief</t>
  </si>
  <si>
    <t>Marginaal VPB-tarief</t>
  </si>
  <si>
    <t>Gewogen gemiddeld VPB/IB-tarief</t>
  </si>
  <si>
    <t>Gemiddeld VPB-tarief</t>
  </si>
  <si>
    <t>Arbeidskorting</t>
  </si>
  <si>
    <t>Algemene heffingskorting</t>
  </si>
  <si>
    <t>en de algemene heffingskorting.</t>
  </si>
  <si>
    <t>Wat de heffingskortingen betreft, wordt alleen met de arbeidskorting en de algemene heffing-</t>
  </si>
  <si>
    <t>Tarief ondernemers/dga's</t>
  </si>
  <si>
    <t>VPB-tarief laag</t>
  </si>
  <si>
    <t>Belastingberekening IB</t>
  </si>
  <si>
    <t>AB-claim</t>
  </si>
  <si>
    <t>IB-dividend</t>
  </si>
  <si>
    <t>Totale fiscale druk bij 100% IB-onderneming</t>
  </si>
  <si>
    <t>kwalificeren. Verder zal moeten worden gelet op een zakelijke winstverdeling.</t>
  </si>
  <si>
    <t>Meerwaarde pand plus desinvesteringsbijtellingen</t>
  </si>
  <si>
    <t>Tekort lijfrenteaftrek</t>
  </si>
  <si>
    <t>Niet geactiveerde goodwill</t>
  </si>
  <si>
    <t>Direct ingaande stakingslijfrente</t>
  </si>
  <si>
    <t>Stakingswinst</t>
  </si>
  <si>
    <t>Beschikbaar voor bijv. eigenwoninglening</t>
  </si>
  <si>
    <t>Verhoging verkrijgingsprijs verschil boekwaarde en WEVAB landbouwgrond</t>
  </si>
  <si>
    <t>Leeftijd</t>
  </si>
  <si>
    <t>VPB-tarieven</t>
  </si>
  <si>
    <t>MKB-winstvrijstelling stakingswinst</t>
  </si>
  <si>
    <t>Lijfrenteaftrek oudedagsreserve</t>
  </si>
  <si>
    <t>Contante waarde IB lijfrente oudedagsreserve</t>
  </si>
  <si>
    <t>Contante waarde IB lijfrente jaarruimte en reserveringsruimte</t>
  </si>
  <si>
    <t xml:space="preserve">VPB-claim goodwill </t>
  </si>
  <si>
    <t>IB direct af te rekenen meerwaarden</t>
  </si>
  <si>
    <t>Lijfrenteaftrek jaar- en reserveringsruimte en stakingswinst (uitgestelde lijfrente)</t>
  </si>
  <si>
    <t>Disconteringspercentage contante-waardeberekening IB-claim lijfrente</t>
  </si>
  <si>
    <t>Verschuldigde IB afrekening stakingswinst</t>
  </si>
  <si>
    <t>Arbeidskorting grondslag</t>
  </si>
  <si>
    <t>IB</t>
  </si>
  <si>
    <t>BV</t>
  </si>
  <si>
    <t>Zie modelovereenkomst 01-27 Model inbrengbeschrijving.</t>
  </si>
  <si>
    <t>Ingangsjaar (uitgestelde) lijfrente</t>
  </si>
  <si>
    <t>Geschatte uitkering (uitgestelde) lijfrente</t>
  </si>
  <si>
    <t>Marginaal IB-tarief (uitgestelde) lijfrente</t>
  </si>
  <si>
    <t>Box 2-tarief</t>
  </si>
  <si>
    <t>IB-tarief stakingswinst</t>
  </si>
  <si>
    <t>Termijn realisatie meerwaarde pand</t>
  </si>
  <si>
    <t>VPB-claim meerwaarde pand (uitgaande van geen afschrijving)</t>
  </si>
  <si>
    <t>De verlaging van het tarief (in de hoogste schijf) waartegen aftrekposten maximaal kunnen</t>
  </si>
  <si>
    <t xml:space="preserve"> </t>
  </si>
  <si>
    <t>Zelfstandigenaftrek</t>
  </si>
  <si>
    <t>Startersaftrek</t>
  </si>
  <si>
    <t>De fiscale claims worden in aanmerking genomen voor de contante waarde. De contante</t>
  </si>
  <si>
    <t>waarde wordt berekend op basis van de disconteringsvoet en het aantal jaren tot pensioen.</t>
  </si>
  <si>
    <t>waarden. Als de meerwaarden (grotendeels) binnen de grenzen van de lijfrenteaftrek kunnen</t>
  </si>
  <si>
    <t>worden afgewikkeld, kan ruisende inbreng voordelig zijn. Ruisende inbreng biedt de volgende</t>
  </si>
  <si>
    <t>voordelen:</t>
  </si>
  <si>
    <t>Totale (fiscale) druk</t>
  </si>
  <si>
    <t>Winstaandeel IB-onderneming na extra kosten firma</t>
  </si>
  <si>
    <t>Bijtelling tariefcorrectie hoogste schijf</t>
  </si>
  <si>
    <t>Aandelenkapitaal/agio</t>
  </si>
  <si>
    <t>Creditering</t>
  </si>
  <si>
    <t>Creditering werkmaatschappij</t>
  </si>
  <si>
    <t>VPB-latentie</t>
  </si>
  <si>
    <t>Commerciële balans werkmaatschappij</t>
  </si>
  <si>
    <t>Fiscale balans werkmaatschappij</t>
  </si>
  <si>
    <t>korting rekening gehouden. Deze kortingen zijn inkomensafhankelijk en werken daarom in de</t>
  </si>
  <si>
    <t>Het model is niet geschikt voor de ondernemers die de AOW-leeftijd reeds hebben bereikt (voor</t>
  </si>
  <si>
    <t>wie lagere IB-tarieven gelden).</t>
  </si>
  <si>
    <t>direct ingaande lijfrente wordt de gemiddelde looptijd berekend op de helft van het aantal jaren</t>
  </si>
  <si>
    <t>tussen ingang en einde.</t>
  </si>
  <si>
    <t>Bij ruisende inbreng wordt een IB-claim op de stakingswinst omgezet in een IB-claim op de</t>
  </si>
  <si>
    <t>de oudedagsreserve in een lijfrente treedt zowel bij geruisloze als bij ruisende inbreng op. Dit</t>
  </si>
  <si>
    <t>effect is in het rekenmodel alleen meegenomen voorzover het de invloed op de hoogte van de</t>
  </si>
  <si>
    <t>stakingslijfrentaftrek betreft (imputatie).</t>
  </si>
  <si>
    <t xml:space="preserve">liquiditeit kan worden gebruikt voor de financiering van de onderneming of de verstrekking van </t>
  </si>
  <si>
    <t xml:space="preserve">verplichting wordt in aanmerking genomen. Het model toont uiteindelijk het verschil in directe </t>
  </si>
  <si>
    <t xml:space="preserve">relevant voor ondernemers die te maken hebben met liquiditeitskrapte. Indien er sprake is van </t>
  </si>
  <si>
    <t>een direct ingaande lijfrente ter zake van de stakingslijfrente wordt de uitkering daaruit geschat</t>
  </si>
  <si>
    <t>uitgaven (denk aan de beruchte rekening courant) en investeringen.</t>
  </si>
  <si>
    <t>financiering. Hierbij is verondersteld dat deze liquiditeit niet nodig is voor extra consumptieve</t>
  </si>
  <si>
    <t>Op dit tabblad kunt u de commerciële en fiscale balans van de werkmaatschappij genereren bij</t>
  </si>
  <si>
    <t xml:space="preserve">de omzetting van een personenvennootschap met twee participanten. Eerst vindt geruisloze </t>
  </si>
  <si>
    <t xml:space="preserve">separaat in. </t>
  </si>
  <si>
    <t>Wat de heffingskortingen betreft wordt alleen rekening gehouden met de arbeidskorting</t>
  </si>
  <si>
    <t>Vrije ruimte werkkostenregeling</t>
  </si>
  <si>
    <t>Af: bankspaarpremie</t>
  </si>
  <si>
    <t>Fiscale claim banksparen</t>
  </si>
  <si>
    <t>MKB-winstvrijstelling</t>
  </si>
  <si>
    <t>IB-claim banksparen</t>
  </si>
  <si>
    <t>Af: Hillen-aftrek</t>
  </si>
  <si>
    <t>Dividenduitkering box 2</t>
  </si>
  <si>
    <t>vermogen wordt behaald.</t>
  </si>
  <si>
    <t>Af: banksparen</t>
  </si>
  <si>
    <t>Geschat IB-tarief banksparen, pensioen</t>
  </si>
  <si>
    <t>Minimaal gebruikelijk loon</t>
  </si>
  <si>
    <t>Maximaal jaarruimte</t>
  </si>
  <si>
    <t>Maximaal reserveringsruimte</t>
  </si>
  <si>
    <t>Stakingslijfrenteaftrek hoog</t>
  </si>
  <si>
    <t>Stakingslijfrenteaftrek laag</t>
  </si>
  <si>
    <t>Stakingslijfrenteaftrek medium</t>
  </si>
  <si>
    <t>AOW-franchise</t>
  </si>
  <si>
    <t>Goodwill en stille reserves</t>
  </si>
  <si>
    <t>Totaal aandelenkapitaal</t>
  </si>
  <si>
    <t>Aandelenkapitaal</t>
  </si>
  <si>
    <t>Vermogen</t>
  </si>
  <si>
    <t>Van firma naar werkmaatschappij</t>
  </si>
  <si>
    <t>Firmant A</t>
  </si>
  <si>
    <t>Firmant B</t>
  </si>
  <si>
    <t>Toelaatbare creditering werkmij</t>
  </si>
  <si>
    <t>Binnen de norm?</t>
  </si>
  <si>
    <t>Deelneming werkmaatschappij</t>
  </si>
  <si>
    <t>Creditering in PH</t>
  </si>
  <si>
    <t>A</t>
  </si>
  <si>
    <t>B</t>
  </si>
  <si>
    <t xml:space="preserve">Totaal </t>
  </si>
  <si>
    <t>Geschat (gemiddeld) box 2-tarief toekomst</t>
  </si>
  <si>
    <t>Netto besteedbaar privé</t>
  </si>
  <si>
    <t>Besteedbaar/beschikbaar IB-onderneming</t>
  </si>
  <si>
    <t>Tariefopstapje</t>
  </si>
  <si>
    <t>Zie 01-27 Modelovereenkomst inbrengbeschrijving.</t>
  </si>
  <si>
    <t>Extra kosten firma met de BV per jaar</t>
  </si>
  <si>
    <t>Loon DGA</t>
  </si>
  <si>
    <t>© Wolters Kluwer Nederland. Alle (auteurs-)rechten op dit document berusten bij Wolters Kluwer Nederland B.V. of haar licentiegevers en worden uitdrukkelijk voorbehouden.</t>
  </si>
  <si>
    <t xml:space="preserve"> Tekst- en datamining niet toegestaan. Kijk voor meer informatie over de diensten van Wolters Kluwer op www.wolterskluwer.nl.</t>
  </si>
  <si>
    <t>maximaal &gt;</t>
  </si>
  <si>
    <t>Lijfrentepremieaftrek vanaf 01-01-1992 t/m 31-12-2000 (2e t/m 5e tranche)</t>
  </si>
  <si>
    <t>Stand oudedagsreserve per 01-01</t>
  </si>
  <si>
    <t>Lijfrentepremieaftrek vanaf 01-01-2001</t>
  </si>
  <si>
    <t>Bij geruisloze inbreng wordt een IB-claim op de stakingswinst omgezet in een VPB- en AB-claim.</t>
  </si>
  <si>
    <t>firma met de BV. Deze biedt als voordeel dat men het gebruikelijk loon kan vervangen door een</t>
  </si>
  <si>
    <t>In het rekenmodel vult u het winstaandeel van de IB-ondernemer en het winstaandeel van de BV</t>
  </si>
  <si>
    <t>Winst BV, vóór VPB</t>
  </si>
  <si>
    <t>Extra kosten BV</t>
  </si>
  <si>
    <t>Extra kosten BV per jaar</t>
  </si>
  <si>
    <t>In BV (nog geen box 2 verschuldigd)</t>
  </si>
  <si>
    <t>Besteedbaar/beschikbaar BV</t>
  </si>
  <si>
    <t>Budgettair neutraal privé; besparing in BV</t>
  </si>
  <si>
    <t>AB-heffing</t>
  </si>
  <si>
    <t>Stakingslijfrente artikel 3.129 lid 2 onderdeel: a = hoog, b = medium, c = laag</t>
  </si>
  <si>
    <t>Periode uitstel AB-claim</t>
  </si>
  <si>
    <t>IB box 1 + bijdrage ZVW</t>
  </si>
  <si>
    <t>BV-situatie</t>
  </si>
  <si>
    <t>IB salaris, dividend, bijdrage ZVW</t>
  </si>
  <si>
    <t>Liquiditeitsvoordeel BV jaar</t>
  </si>
  <si>
    <t>Bruto rendement op liquiditeitsvoordeel BV</t>
  </si>
  <si>
    <t>VPB over rendement liquiditeitsvoordeel BV</t>
  </si>
  <si>
    <t>Geschatte uitkering bij direct ingaande lijfrente</t>
  </si>
  <si>
    <t xml:space="preserve">op basis van de koopsom, de marktrente zoals bij een gerichte lijfrente alsmede een looptijd </t>
  </si>
  <si>
    <t>tot aan leeftijd 87 jaar.</t>
  </si>
  <si>
    <t>Winst BV na extra kosten firma</t>
  </si>
  <si>
    <t>Extra kosten firma met de BV</t>
  </si>
  <si>
    <t>Totale fiscale druk bij 100% BV</t>
  </si>
  <si>
    <t>AB-claim landbouwgrond (nominaal 1 jaar)</t>
  </si>
  <si>
    <t>Onderstaand volgt een overzicht van de liquideitsvoordelen van de BV. Het effect van fiscale claims wordt verwaarloosd.</t>
  </si>
  <si>
    <t>BV ja, BV nee</t>
  </si>
  <si>
    <t>over de winst en de overige inkomsten en bij het BV-scenario de VPB en de IB over het salaris.</t>
  </si>
  <si>
    <t>meeste gevallen gunstig uit voor de BV.</t>
  </si>
  <si>
    <t>Voor het jaarlijkse dividend is het voorstel van het rekenmodel 1/4 van de winst.</t>
  </si>
  <si>
    <t>lijfrenteuitkeringen. De goodwillafschrijving levert een liquiditeitsvoordeel op. Door deze afschrijving</t>
  </si>
  <si>
    <t>ontstaat meteen weer een VPB-claim. Het verschil tussen geruisloze en ruisende inbreng</t>
  </si>
  <si>
    <t xml:space="preserve">is dus gelegen in het liquiditeitsvoordeel door de afschrijving en de AB-claim. De omzetting van </t>
  </si>
  <si>
    <t>Bij de BV is er sprake van een lager tarief in combinatie met uitgestelde heffingen. De bespaarde</t>
  </si>
  <si>
    <t>heffingen bij de BV en de IB-onderneming voor een periode van 20 jaar. Deze informatie is zeer</t>
  </si>
  <si>
    <t xml:space="preserve">Vermeden zal moeten worden dat de aandelen in de BV als verplicht ondernemingsvermogen </t>
  </si>
  <si>
    <t>Rekening wordt gehouden met het (voordelige) tariefverschil tussen de VPB en de IB (box 1) en met de besparing door</t>
  </si>
  <si>
    <t>Te bedingen lijfrente BV in verband met oudedagsreserve</t>
  </si>
  <si>
    <t>Openingsbalans BV</t>
  </si>
  <si>
    <t>Besparing firma-BV in vergelijking met BV</t>
  </si>
  <si>
    <t>Maximum bijdrage-inkomen</t>
  </si>
  <si>
    <t>Hoge box 2-tarief 2026</t>
  </si>
  <si>
    <t>hoog</t>
  </si>
  <si>
    <t>IB-tarieven box 2</t>
  </si>
  <si>
    <t>Dit tabblad berekent het voordeel van de BV ten opzichte van de IB-onderneming.</t>
  </si>
  <si>
    <t>wordt tot uitdrukking gebracht in de disconteringsvoet. Dit is het netto rendement dat op het</t>
  </si>
  <si>
    <t xml:space="preserve">Voor het DGA-salaris doet het model de suggestie van 50% van de winst met als minimum het </t>
  </si>
  <si>
    <t>bedrag van art. 12a Wet LB 1964 (gebruikelijk loon).</t>
  </si>
  <si>
    <t>Het model kan rekening houden met een verschil in (accountants)kosten tussen een persoonlijke</t>
  </si>
  <si>
    <t xml:space="preserve">onderneming en een BV. Deze worden meegenomen bij de winstberekening waardoor een </t>
  </si>
  <si>
    <t>schatting. Oprichtingkosten uitsmeren over aantal jaren.</t>
  </si>
  <si>
    <t>Minimaliseer het salaris binnen de grens van art. 12a Wet LB 1964 (gebruikelijk loon). Het gecombineerde</t>
  </si>
  <si>
    <t>- MKB-winstvrijstelling over stakingswinst;</t>
  </si>
  <si>
    <t>- afschrijving over goodwill;</t>
  </si>
  <si>
    <t>- besparing op de AB-claim.</t>
  </si>
  <si>
    <t>Het model neemt de extra lijfrenteaftrek uit de jaarruimte en reseveringsruimte mee.</t>
  </si>
  <si>
    <t>Onderaan vindt u regels met de potentiële liquiditeit van de BV beschikbaar voor de eigenwoning-</t>
  </si>
  <si>
    <t>Art14</t>
  </si>
  <si>
    <t>Firma-BV</t>
  </si>
  <si>
    <t xml:space="preserve">Naast de IB-onderneming en de BV kan nog een derde scenario worden onderscheiden: de </t>
  </si>
  <si>
    <t>winstaandeel als IB-ondernemer. Men heeft hier als het ware the best of two worlds: de</t>
  </si>
  <si>
    <t>ondernemersfaciliteiten in de IB en het lage effectieve tarief van de BV.</t>
  </si>
  <si>
    <t>Er wordt uitgegaan van een gebruikelijk loon van nihil (art. 12a lid 4 Wet LB 1964).</t>
  </si>
  <si>
    <t>Winst vóór zelfstandigenaftrek en MKB-winstvrijstelling</t>
  </si>
  <si>
    <t>Salaris bij BV (in principe 0 ex art. 12a lid 4 Wet LB 1964)</t>
  </si>
  <si>
    <t>Box 2-tarief over dividend</t>
  </si>
  <si>
    <t>Startwaarde lijfrenteverplichting BV</t>
  </si>
  <si>
    <t>Rentepercentage oprenting lijfrentekapitaal</t>
  </si>
  <si>
    <t>Lijfrentekapitaal na oprenting -/- uitkering</t>
  </si>
  <si>
    <t>Oprenting lijfrentekapitaal</t>
  </si>
  <si>
    <t>de oprenting van het lijfrentekapitaal.</t>
  </si>
  <si>
    <t>een eigenwoninglening aan de DGA. Ook de VPB-besparing door de oprenting van het lijfrente-</t>
  </si>
  <si>
    <t>Winst BV vóór correcties</t>
  </si>
  <si>
    <t>v20261118</t>
  </si>
  <si>
    <t>-</t>
  </si>
  <si>
    <t xml:space="preserve">De eerste versie van het 2026-model, met de t/m 18-11-2025 bekendgemaakte (voorlopige) cijfers </t>
  </si>
  <si>
    <t>Diverse tekstuele aanpassingen ten opzichte van rekenmodel 05-01a BV 2025</t>
  </si>
  <si>
    <t>v20260110</t>
  </si>
  <si>
    <t>Update definitieve cijfers 2026</t>
  </si>
  <si>
    <t>€ 2.400 worden ingevuld (de doelmatigheidsgrens waarmee de fiscus ongetoetst akkoord gaat).</t>
  </si>
  <si>
    <t>middel om de voor de DGA in privé budgettair neutrale conversie van salaris in dividend te berekenen.</t>
  </si>
  <si>
    <t>Bijdrage Zvw</t>
  </si>
  <si>
    <t>Geschat IB-tarief + bijdrage Zvw over uitgestelde lijfrenteuitkeringen</t>
  </si>
  <si>
    <t>MKB-winstvrijstelling oudedagsreserve</t>
  </si>
  <si>
    <t>Contante waarde IB lijfrenteuitkering oudedagsreserve</t>
  </si>
  <si>
    <t>Enkele visuele en tekstuele aanpassingen</t>
  </si>
  <si>
    <t>Het voordeel van uitstel van heffing over beroepspensioen, banksparen en aanmerkelijk belang</t>
  </si>
  <si>
    <t>VPB-besparing optreedt, alsmede een besparing op de IB-claim. Zie adviestekst dga-109 voor een</t>
  </si>
  <si>
    <t>VPB/IB-tarief is lager dan het IB-tarief (vermeerderd met de bijdrage Zvw). Dit tabblad is een hulp-</t>
  </si>
  <si>
    <t>Zie adviestekst dga-409.</t>
  </si>
  <si>
    <t xml:space="preserve">inbreng van ieders aandeel in een eigen vennootschap (personal holding) plaats. Vervolgens </t>
  </si>
  <si>
    <t xml:space="preserve">vanuit deze twee vennootschappen vindt inbreng in een gezamenlijke werkmaatschappij plaats. </t>
  </si>
  <si>
    <t>De doorinbreng in de werkmaatschappij vindt plaats met toepassing van art. 14 of 14a Wet VPB 1969.</t>
  </si>
  <si>
    <t>Als de kapitaalrekening niet spoort met de winstgerechtigdheid wordt over het verschil met</t>
  </si>
  <si>
    <t xml:space="preserve">preferente aandelen gewerkt. </t>
  </si>
  <si>
    <t>Creditering (maximaal 5% gestorte kapitaal, maximaal € 30.000)</t>
  </si>
  <si>
    <t>Het absolute maximumbedrag van de creditering bij geruisloze inbreng is verhoogd naar € 30.000 (vierde</t>
  </si>
  <si>
    <t>standaardvoorwaarde; tab Balans gi)</t>
  </si>
  <si>
    <t>v20260304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</si>
</sst>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5" x14ac:knownFonts="1">
    <font>
      <sz val="10"/>
      <name val="Arial"/>
    </font>
    <font>
      <sz val="11"/>
      <color theme="1"/>
      <name val="Calibri"/>
      <family val="2"/>
      <scheme val="minor"/>
    </font>
    <font>
      <sz val="10"/>
      <name val="Arial"/>
      <family val="2"/>
    </font>
    <font>
      <sz val="8"/>
      <name val="Arial"/>
      <family val="2"/>
    </font>
    <font>
      <b/>
      <sz val="10"/>
      <color indexed="9"/>
      <name val="Arial"/>
      <family val="2"/>
    </font>
    <font>
      <b/>
      <sz val="8"/>
      <name val="Arial"/>
      <family val="2"/>
    </font>
    <font>
      <u val="double"/>
      <sz val="8"/>
      <name val="Arial"/>
      <family val="2"/>
    </font>
    <font>
      <i/>
      <sz val="8"/>
      <name val="Arial"/>
      <family val="2"/>
    </font>
    <font>
      <sz val="8"/>
      <color indexed="55"/>
      <name val="Arial"/>
      <family val="2"/>
    </font>
    <font>
      <sz val="8"/>
      <color indexed="9"/>
      <name val="Arial"/>
      <family val="2"/>
    </font>
    <font>
      <sz val="8"/>
      <color indexed="10"/>
      <name val="Arial"/>
      <family val="2"/>
    </font>
    <font>
      <b/>
      <sz val="8"/>
      <color indexed="10"/>
      <name val="Arial"/>
      <family val="2"/>
    </font>
    <font>
      <b/>
      <i/>
      <sz val="8"/>
      <name val="Arial"/>
      <family val="2"/>
    </font>
    <font>
      <sz val="8"/>
      <color indexed="13"/>
      <name val="Arial"/>
      <family val="2"/>
    </font>
    <font>
      <i/>
      <sz val="8"/>
      <color indexed="13"/>
      <name val="Arial"/>
      <family val="2"/>
    </font>
    <font>
      <sz val="8"/>
      <color indexed="42"/>
      <name val="Arial"/>
      <family val="2"/>
    </font>
    <font>
      <sz val="8"/>
      <name val="Arial"/>
      <family val="2"/>
    </font>
    <font>
      <sz val="8"/>
      <color indexed="10"/>
      <name val="Arial"/>
      <family val="2"/>
    </font>
    <font>
      <sz val="8"/>
      <color indexed="81"/>
      <name val="Tahoma"/>
      <family val="2"/>
    </font>
    <font>
      <b/>
      <sz val="10"/>
      <color theme="0"/>
      <name val="Arial"/>
      <family val="2"/>
    </font>
    <font>
      <sz val="8"/>
      <color rgb="FFFF0000"/>
      <name val="Arial"/>
      <family val="2"/>
    </font>
    <font>
      <b/>
      <sz val="8"/>
      <color indexed="81"/>
      <name val="Tahoma"/>
      <family val="2"/>
    </font>
    <font>
      <sz val="10"/>
      <color theme="1"/>
      <name val="Arial"/>
      <family val="2"/>
    </font>
    <font>
      <sz val="8"/>
      <color theme="1"/>
      <name val="Arial"/>
      <family val="2"/>
    </font>
    <font>
      <b/>
      <sz val="8"/>
      <color theme="0"/>
      <name val="Arial"/>
      <family val="2"/>
    </font>
  </fonts>
  <fills count="9">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2"/>
        <bgColor indexed="64"/>
      </patternFill>
    </fill>
    <fill>
      <patternFill patternType="solid">
        <fgColor indexed="13"/>
        <bgColor indexed="64"/>
      </patternFill>
    </fill>
    <fill>
      <patternFill patternType="solid">
        <fgColor rgb="FFFFFFCC"/>
        <bgColor indexed="64"/>
      </patternFill>
    </fill>
    <fill>
      <patternFill patternType="solid">
        <fgColor theme="0"/>
        <bgColor indexed="64"/>
      </patternFill>
    </fill>
    <fill>
      <patternFill patternType="solid">
        <fgColor theme="3"/>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9" fontId="2" fillId="0" borderId="0" applyFont="0" applyFill="0" applyBorder="0" applyAlignment="0" applyProtection="0"/>
    <xf numFmtId="0" fontId="1" fillId="0" borderId="0"/>
    <xf numFmtId="0" fontId="2" fillId="0" borderId="0"/>
  </cellStyleXfs>
  <cellXfs count="113">
    <xf numFmtId="0" fontId="0" fillId="0" borderId="0" xfId="0"/>
    <xf numFmtId="0" fontId="3" fillId="2" borderId="0" xfId="0" applyFont="1" applyFill="1"/>
    <xf numFmtId="3" fontId="3" fillId="3" borderId="0" xfId="0" applyNumberFormat="1" applyFont="1" applyFill="1" applyProtection="1">
      <protection locked="0"/>
    </xf>
    <xf numFmtId="0" fontId="3" fillId="3" borderId="0" xfId="0" applyFont="1" applyFill="1" applyProtection="1">
      <protection locked="0"/>
    </xf>
    <xf numFmtId="9" fontId="3" fillId="3" borderId="0" xfId="0" applyNumberFormat="1" applyFont="1" applyFill="1" applyProtection="1">
      <protection locked="0"/>
    </xf>
    <xf numFmtId="0" fontId="3" fillId="3" borderId="0" xfId="0" applyFont="1" applyFill="1" applyAlignment="1" applyProtection="1">
      <alignment horizontal="right"/>
      <protection locked="0"/>
    </xf>
    <xf numFmtId="3" fontId="3" fillId="3" borderId="1" xfId="0" applyNumberFormat="1" applyFont="1" applyFill="1" applyBorder="1" applyProtection="1">
      <protection locked="0"/>
    </xf>
    <xf numFmtId="0" fontId="3" fillId="0" borderId="0" xfId="0" applyFont="1"/>
    <xf numFmtId="0" fontId="5" fillId="0" borderId="0" xfId="0" applyFont="1"/>
    <xf numFmtId="0" fontId="3" fillId="0" borderId="2" xfId="0" applyFont="1" applyBorder="1"/>
    <xf numFmtId="10" fontId="3" fillId="3" borderId="0" xfId="0" applyNumberFormat="1" applyFont="1" applyFill="1" applyProtection="1">
      <protection locked="0"/>
    </xf>
    <xf numFmtId="0" fontId="16" fillId="0" borderId="0" xfId="0" applyFont="1"/>
    <xf numFmtId="3" fontId="16" fillId="3" borderId="0" xfId="0" applyNumberFormat="1" applyFont="1" applyFill="1" applyProtection="1">
      <protection locked="0"/>
    </xf>
    <xf numFmtId="0" fontId="2" fillId="0" borderId="0" xfId="0" applyFont="1"/>
    <xf numFmtId="10" fontId="16" fillId="3" borderId="0" xfId="0" applyNumberFormat="1" applyFont="1" applyFill="1" applyProtection="1">
      <protection locked="0"/>
    </xf>
    <xf numFmtId="15" fontId="3" fillId="3" borderId="0" xfId="0" applyNumberFormat="1" applyFont="1" applyFill="1" applyAlignment="1" applyProtection="1">
      <alignment horizontal="right"/>
      <protection locked="0"/>
    </xf>
    <xf numFmtId="0" fontId="0" fillId="0" borderId="0" xfId="0" applyAlignment="1">
      <alignment shrinkToFit="1"/>
    </xf>
    <xf numFmtId="3" fontId="3" fillId="3" borderId="0" xfId="0" applyNumberFormat="1" applyFont="1" applyFill="1" applyAlignment="1" applyProtection="1">
      <alignment shrinkToFit="1"/>
      <protection locked="0"/>
    </xf>
    <xf numFmtId="10" fontId="3" fillId="3" borderId="0" xfId="0" applyNumberFormat="1" applyFont="1" applyFill="1" applyAlignment="1" applyProtection="1">
      <alignment shrinkToFit="1"/>
      <protection locked="0"/>
    </xf>
    <xf numFmtId="0" fontId="3" fillId="3" borderId="0" xfId="0" applyFont="1" applyFill="1" applyAlignment="1" applyProtection="1">
      <alignment shrinkToFit="1"/>
      <protection locked="0"/>
    </xf>
    <xf numFmtId="3" fontId="3" fillId="6" borderId="0" xfId="0" applyNumberFormat="1" applyFont="1" applyFill="1" applyProtection="1">
      <protection locked="0"/>
    </xf>
    <xf numFmtId="1" fontId="3" fillId="3" borderId="0" xfId="0" applyNumberFormat="1" applyFont="1" applyFill="1" applyProtection="1">
      <protection locked="0"/>
    </xf>
    <xf numFmtId="164" fontId="3" fillId="6" borderId="0" xfId="0" applyNumberFormat="1" applyFont="1" applyFill="1" applyProtection="1">
      <protection locked="0"/>
    </xf>
    <xf numFmtId="10" fontId="16" fillId="6" borderId="0" xfId="0" applyNumberFormat="1" applyFont="1" applyFill="1" applyProtection="1">
      <protection locked="0"/>
    </xf>
    <xf numFmtId="10" fontId="3" fillId="6" borderId="0" xfId="0" applyNumberFormat="1" applyFont="1" applyFill="1" applyProtection="1">
      <protection locked="0"/>
    </xf>
    <xf numFmtId="0" fontId="19" fillId="0" borderId="0" xfId="0" applyFont="1"/>
    <xf numFmtId="10" fontId="3" fillId="0" borderId="0" xfId="1" applyNumberFormat="1" applyFont="1" applyProtection="1"/>
    <xf numFmtId="9" fontId="3" fillId="0" borderId="0" xfId="1" applyFont="1" applyProtection="1"/>
    <xf numFmtId="3" fontId="3" fillId="0" borderId="0" xfId="1" applyNumberFormat="1" applyFont="1" applyProtection="1"/>
    <xf numFmtId="10" fontId="3" fillId="0" borderId="0" xfId="1" applyNumberFormat="1" applyFont="1" applyAlignment="1" applyProtection="1">
      <alignment vertical="center"/>
    </xf>
    <xf numFmtId="10" fontId="3" fillId="3" borderId="0" xfId="1" applyNumberFormat="1" applyFont="1" applyFill="1" applyProtection="1">
      <protection locked="0"/>
    </xf>
    <xf numFmtId="0" fontId="22" fillId="0" borderId="0" xfId="2" applyFont="1"/>
    <xf numFmtId="0" fontId="23" fillId="0" borderId="0" xfId="2" applyFont="1"/>
    <xf numFmtId="14" fontId="3" fillId="3" borderId="0" xfId="0" applyNumberFormat="1" applyFont="1" applyFill="1" applyAlignment="1" applyProtection="1">
      <alignment horizontal="right"/>
      <protection locked="0"/>
    </xf>
    <xf numFmtId="0" fontId="10" fillId="0" borderId="0" xfId="0" applyFont="1"/>
    <xf numFmtId="0" fontId="7" fillId="0" borderId="2" xfId="0" applyFont="1" applyBorder="1"/>
    <xf numFmtId="0" fontId="3" fillId="0" borderId="0" xfId="0" applyFont="1" applyAlignment="1">
      <alignment shrinkToFit="1"/>
    </xf>
    <xf numFmtId="10" fontId="3" fillId="0" borderId="0" xfId="0" applyNumberFormat="1" applyFont="1"/>
    <xf numFmtId="3" fontId="3" fillId="0" borderId="0" xfId="0" applyNumberFormat="1" applyFont="1"/>
    <xf numFmtId="9" fontId="3" fillId="0" borderId="0" xfId="0" applyNumberFormat="1" applyFont="1"/>
    <xf numFmtId="3" fontId="3" fillId="2" borderId="0" xfId="0" applyNumberFormat="1" applyFont="1" applyFill="1"/>
    <xf numFmtId="3" fontId="3" fillId="0" borderId="0" xfId="0" applyNumberFormat="1" applyFont="1" applyAlignment="1">
      <alignment horizontal="center"/>
    </xf>
    <xf numFmtId="3" fontId="16" fillId="0" borderId="0" xfId="0" applyNumberFormat="1" applyFont="1"/>
    <xf numFmtId="3" fontId="17" fillId="0" borderId="0" xfId="0" applyNumberFormat="1" applyFont="1"/>
    <xf numFmtId="0" fontId="17" fillId="0" borderId="0" xfId="0" applyFont="1"/>
    <xf numFmtId="0" fontId="7" fillId="2" borderId="0" xfId="0" applyFont="1" applyFill="1"/>
    <xf numFmtId="0" fontId="3" fillId="2" borderId="0" xfId="0" applyFont="1" applyFill="1" applyAlignment="1">
      <alignment horizontal="left"/>
    </xf>
    <xf numFmtId="0" fontId="3" fillId="0" borderId="0" xfId="0" applyFont="1" applyAlignment="1">
      <alignment horizontal="left"/>
    </xf>
    <xf numFmtId="3" fontId="3" fillId="0" borderId="1" xfId="0" applyNumberFormat="1" applyFont="1" applyBorder="1"/>
    <xf numFmtId="164" fontId="3" fillId="2" borderId="0" xfId="0" applyNumberFormat="1" applyFont="1" applyFill="1"/>
    <xf numFmtId="3" fontId="3" fillId="2" borderId="0" xfId="0" applyNumberFormat="1" applyFont="1" applyFill="1" applyAlignment="1">
      <alignment horizontal="right"/>
    </xf>
    <xf numFmtId="0" fontId="7" fillId="0" borderId="0" xfId="0" applyFont="1"/>
    <xf numFmtId="3" fontId="3" fillId="2" borderId="1" xfId="0" applyNumberFormat="1" applyFont="1" applyFill="1" applyBorder="1" applyAlignment="1">
      <alignment horizontal="right"/>
    </xf>
    <xf numFmtId="0" fontId="0" fillId="2" borderId="0" xfId="0" applyFill="1"/>
    <xf numFmtId="3" fontId="0" fillId="2" borderId="0" xfId="0" applyNumberFormat="1" applyFill="1"/>
    <xf numFmtId="0" fontId="11" fillId="0" borderId="0" xfId="0" applyFont="1"/>
    <xf numFmtId="3" fontId="3" fillId="2" borderId="0" xfId="0" applyNumberFormat="1" applyFont="1" applyFill="1" applyAlignment="1">
      <alignment shrinkToFit="1"/>
    </xf>
    <xf numFmtId="0" fontId="7" fillId="0" borderId="0" xfId="0" applyFont="1" applyAlignment="1">
      <alignment horizontal="right"/>
    </xf>
    <xf numFmtId="0" fontId="7" fillId="0" borderId="2" xfId="0" applyFont="1" applyBorder="1" applyAlignment="1">
      <alignment horizontal="right" shrinkToFit="1"/>
    </xf>
    <xf numFmtId="3" fontId="3" fillId="0" borderId="0" xfId="0" applyNumberFormat="1" applyFont="1" applyAlignment="1">
      <alignment shrinkToFit="1"/>
    </xf>
    <xf numFmtId="3" fontId="3" fillId="0" borderId="1" xfId="0" applyNumberFormat="1" applyFont="1" applyBorder="1" applyAlignment="1">
      <alignment shrinkToFit="1"/>
    </xf>
    <xf numFmtId="3" fontId="6" fillId="0" borderId="0" xfId="0" applyNumberFormat="1" applyFont="1" applyAlignment="1">
      <alignment shrinkToFit="1"/>
    </xf>
    <xf numFmtId="0" fontId="4" fillId="2" borderId="0" xfId="0" applyFont="1" applyFill="1" applyAlignment="1">
      <alignment horizontal="left"/>
    </xf>
    <xf numFmtId="0" fontId="7" fillId="0" borderId="2" xfId="0" applyFont="1" applyBorder="1" applyAlignment="1">
      <alignment horizontal="right"/>
    </xf>
    <xf numFmtId="0" fontId="10" fillId="0" borderId="0" xfId="0" applyFont="1" applyAlignment="1">
      <alignment horizontal="right" shrinkToFit="1"/>
    </xf>
    <xf numFmtId="0" fontId="3" fillId="0" borderId="1" xfId="0" applyFont="1" applyBorder="1"/>
    <xf numFmtId="3" fontId="7" fillId="0" borderId="2" xfId="0" applyNumberFormat="1" applyFont="1" applyBorder="1"/>
    <xf numFmtId="10" fontId="7" fillId="0" borderId="0" xfId="0" applyNumberFormat="1" applyFont="1" applyAlignment="1">
      <alignment horizontal="center"/>
    </xf>
    <xf numFmtId="0" fontId="3" fillId="0" borderId="0" xfId="0" applyFont="1" applyAlignment="1">
      <alignment horizontal="right"/>
    </xf>
    <xf numFmtId="3" fontId="3" fillId="0" borderId="0" xfId="0" applyNumberFormat="1" applyFont="1" applyAlignment="1">
      <alignment horizontal="right"/>
    </xf>
    <xf numFmtId="3" fontId="3" fillId="0" borderId="3" xfId="0" applyNumberFormat="1" applyFont="1" applyBorder="1"/>
    <xf numFmtId="0" fontId="20" fillId="0" borderId="0" xfId="0" applyFont="1"/>
    <xf numFmtId="3" fontId="8" fillId="0" borderId="0" xfId="0" applyNumberFormat="1" applyFont="1"/>
    <xf numFmtId="10" fontId="7" fillId="0" borderId="2" xfId="0" applyNumberFormat="1" applyFont="1" applyBorder="1"/>
    <xf numFmtId="10" fontId="3" fillId="0" borderId="0" xfId="0" applyNumberFormat="1" applyFont="1" applyAlignment="1">
      <alignment horizontal="right"/>
    </xf>
    <xf numFmtId="10" fontId="7" fillId="0" borderId="2" xfId="0" applyNumberFormat="1" applyFont="1" applyBorder="1" applyAlignment="1">
      <alignment horizontal="right"/>
    </xf>
    <xf numFmtId="165" fontId="3" fillId="0" borderId="0" xfId="0" applyNumberFormat="1" applyFont="1"/>
    <xf numFmtId="0" fontId="20" fillId="0" borderId="0" xfId="0" quotePrefix="1" applyFont="1"/>
    <xf numFmtId="0" fontId="3" fillId="0" borderId="0" xfId="0" quotePrefix="1" applyFont="1"/>
    <xf numFmtId="0" fontId="3" fillId="0" borderId="0" xfId="3" applyFont="1"/>
    <xf numFmtId="0" fontId="3" fillId="2" borderId="0" xfId="0" quotePrefix="1" applyFont="1" applyFill="1"/>
    <xf numFmtId="0" fontId="3" fillId="6" borderId="0" xfId="0" applyFont="1" applyFill="1" applyAlignment="1" applyProtection="1">
      <alignment horizontal="right"/>
      <protection locked="0"/>
    </xf>
    <xf numFmtId="9" fontId="3" fillId="6" borderId="0" xfId="0" applyNumberFormat="1" applyFont="1" applyFill="1" applyProtection="1">
      <protection locked="0"/>
    </xf>
    <xf numFmtId="3" fontId="3" fillId="7" borderId="1" xfId="0" applyNumberFormat="1" applyFont="1" applyFill="1" applyBorder="1"/>
    <xf numFmtId="3" fontId="3" fillId="6" borderId="1" xfId="0" applyNumberFormat="1" applyFont="1" applyFill="1" applyBorder="1" applyProtection="1">
      <protection locked="0"/>
    </xf>
    <xf numFmtId="0" fontId="19" fillId="8" borderId="0" xfId="0" applyFont="1" applyFill="1" applyAlignment="1">
      <alignment vertical="center"/>
    </xf>
    <xf numFmtId="0" fontId="19" fillId="8" borderId="0" xfId="0" applyFont="1" applyFill="1" applyAlignment="1">
      <alignment horizontal="left" vertical="center" wrapText="1"/>
    </xf>
    <xf numFmtId="0" fontId="19" fillId="8" borderId="0" xfId="0" applyFont="1" applyFill="1" applyAlignment="1">
      <alignment vertical="center" shrinkToFit="1"/>
    </xf>
    <xf numFmtId="0" fontId="19" fillId="8" borderId="0" xfId="0" applyFont="1" applyFill="1" applyAlignment="1">
      <alignment horizontal="left" vertical="center"/>
    </xf>
    <xf numFmtId="0" fontId="19" fillId="8" borderId="0" xfId="0" applyFont="1" applyFill="1" applyAlignment="1">
      <alignment horizontal="center" vertical="center"/>
    </xf>
    <xf numFmtId="0" fontId="19" fillId="8" borderId="0" xfId="2" applyFont="1" applyFill="1" applyAlignment="1">
      <alignment vertical="center"/>
    </xf>
    <xf numFmtId="0" fontId="24" fillId="0" borderId="0" xfId="0" applyFont="1" applyAlignment="1">
      <alignment vertical="center"/>
    </xf>
    <xf numFmtId="0" fontId="5" fillId="0" borderId="0" xfId="0" quotePrefix="1" applyFont="1" applyAlignment="1">
      <alignment horizontal="center"/>
    </xf>
    <xf numFmtId="14" fontId="20" fillId="2" borderId="0" xfId="0" applyNumberFormat="1" applyFont="1" applyFill="1"/>
    <xf numFmtId="0" fontId="14" fillId="0" borderId="0" xfId="0" applyFont="1"/>
    <xf numFmtId="0" fontId="7" fillId="5" borderId="0" xfId="0" applyFont="1" applyFill="1"/>
    <xf numFmtId="0" fontId="13" fillId="0" borderId="0" xfId="0" applyFont="1"/>
    <xf numFmtId="0" fontId="15" fillId="4" borderId="0" xfId="0" applyFont="1" applyFill="1"/>
    <xf numFmtId="3" fontId="9" fillId="0" borderId="0" xfId="0" applyNumberFormat="1" applyFont="1"/>
    <xf numFmtId="0" fontId="3" fillId="0" borderId="0" xfId="0" applyFont="1" applyAlignment="1">
      <alignment wrapText="1"/>
    </xf>
    <xf numFmtId="0" fontId="15" fillId="0" borderId="0" xfId="0" applyFont="1"/>
    <xf numFmtId="3" fontId="3" fillId="7" borderId="0" xfId="0" applyNumberFormat="1" applyFont="1" applyFill="1" applyAlignment="1">
      <alignment horizontal="right"/>
    </xf>
    <xf numFmtId="3" fontId="3" fillId="7" borderId="0" xfId="0" applyNumberFormat="1" applyFont="1" applyFill="1"/>
    <xf numFmtId="0" fontId="7" fillId="0" borderId="2" xfId="0" applyFont="1" applyBorder="1" applyAlignment="1">
      <alignment horizontal="center"/>
    </xf>
    <xf numFmtId="0" fontId="3" fillId="0" borderId="0" xfId="0" applyFont="1" applyAlignment="1">
      <alignment horizontal="center"/>
    </xf>
    <xf numFmtId="3" fontId="3" fillId="0" borderId="2" xfId="0" applyNumberFormat="1" applyFont="1" applyBorder="1"/>
    <xf numFmtId="0" fontId="7" fillId="0" borderId="0" xfId="0" applyFont="1" applyAlignment="1">
      <alignment horizontal="center"/>
    </xf>
    <xf numFmtId="3" fontId="3" fillId="0" borderId="2" xfId="0" applyNumberFormat="1" applyFont="1" applyBorder="1" applyAlignment="1">
      <alignment horizontal="center"/>
    </xf>
    <xf numFmtId="3" fontId="5" fillId="0" borderId="2" xfId="0" applyNumberFormat="1" applyFont="1" applyBorder="1"/>
    <xf numFmtId="0" fontId="12" fillId="0" borderId="0" xfId="0" applyFont="1" applyAlignment="1">
      <alignment horizontal="center"/>
    </xf>
    <xf numFmtId="3" fontId="5" fillId="0" borderId="0" xfId="0" applyNumberFormat="1" applyFont="1" applyAlignment="1">
      <alignment horizontal="center"/>
    </xf>
    <xf numFmtId="3" fontId="5" fillId="0" borderId="2" xfId="0" applyNumberFormat="1" applyFont="1" applyBorder="1" applyAlignment="1">
      <alignment horizontal="center"/>
    </xf>
    <xf numFmtId="10" fontId="3" fillId="0" borderId="0" xfId="0" applyNumberFormat="1" applyFont="1" applyAlignment="1">
      <alignment horizontal="center"/>
    </xf>
  </cellXfs>
  <cellStyles count="4">
    <cellStyle name="Procent" xfId="1" builtinId="5"/>
    <cellStyle name="Standaard" xfId="0" builtinId="0"/>
    <cellStyle name="Standaard 2" xfId="2" xr:uid="{FD4C0CD1-E6EA-41FD-AB31-E5700D3BC365}"/>
    <cellStyle name="Standaard 2 2" xfId="3" xr:uid="{389579C0-B66C-4F2D-B40A-47A9CCF597BB}"/>
  </cellStyles>
  <dxfs count="4">
    <dxf>
      <fill>
        <patternFill>
          <bgColor indexed="9"/>
        </patternFill>
      </fill>
    </dxf>
    <dxf>
      <fill>
        <patternFill>
          <bgColor indexed="42"/>
        </patternFill>
      </fill>
    </dxf>
    <dxf>
      <fill>
        <patternFill>
          <bgColor indexed="9"/>
        </patternFill>
      </fill>
    </dxf>
    <dxf>
      <fill>
        <patternFill>
          <bgColor indexed="1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1"/>
  <sheetViews>
    <sheetView showGridLines="0" tabSelected="1" showOutlineSymbols="0" zoomScaleNormal="100" workbookViewId="0">
      <selection activeCell="B4" sqref="B4"/>
    </sheetView>
  </sheetViews>
  <sheetFormatPr defaultColWidth="0" defaultRowHeight="12" customHeight="1" zeroHeight="1" x14ac:dyDescent="0.2"/>
  <cols>
    <col min="1" max="1" width="38.7109375" style="7" customWidth="1"/>
    <col min="2" max="2" width="8.7109375" style="7" customWidth="1"/>
    <col min="3" max="3" width="2.140625" style="7" customWidth="1"/>
    <col min="4" max="4" width="38.7109375" style="7" customWidth="1"/>
    <col min="5" max="5" width="8.7109375" style="7" customWidth="1"/>
    <col min="6" max="6" width="3.5703125" style="7" customWidth="1"/>
    <col min="7" max="7" width="12.5703125" style="7" customWidth="1"/>
    <col min="8" max="8" width="3.5703125" style="7" customWidth="1"/>
    <col min="9" max="16384" width="9.140625" style="7" hidden="1"/>
  </cols>
  <sheetData>
    <row r="1" spans="1:8" ht="18" customHeight="1" x14ac:dyDescent="0.2">
      <c r="A1" s="85" t="str">
        <f>"Berekening BV ja, BV nee op basis van één jaar - " &amp; versie</f>
        <v>Berekening BV ja, BV nee op basis van één jaar - v20260304</v>
      </c>
      <c r="B1" s="85"/>
      <c r="C1" s="85"/>
      <c r="D1" s="85"/>
      <c r="E1" s="85"/>
      <c r="F1" s="85"/>
      <c r="G1" s="85"/>
      <c r="H1" s="85"/>
    </row>
    <row r="2" spans="1:8" ht="12" customHeight="1" x14ac:dyDescent="0.2">
      <c r="A2" s="93" t="str">
        <f>IF(B5&gt;65,"Dit model is niet geschikt als de AOW-leeftijd al is bereikt","")</f>
        <v/>
      </c>
      <c r="B2" s="1"/>
    </row>
    <row r="3" spans="1:8" ht="12" customHeight="1" x14ac:dyDescent="0.2">
      <c r="A3" s="35" t="s">
        <v>23</v>
      </c>
      <c r="B3" s="9"/>
      <c r="D3" s="35" t="s">
        <v>157</v>
      </c>
      <c r="E3" s="9"/>
      <c r="F3" s="94"/>
      <c r="G3" s="95"/>
    </row>
    <row r="4" spans="1:8" ht="12" customHeight="1" x14ac:dyDescent="0.2">
      <c r="A4" s="7" t="s">
        <v>96</v>
      </c>
      <c r="B4" s="7">
        <v>2026</v>
      </c>
      <c r="D4" s="7" t="s">
        <v>252</v>
      </c>
      <c r="E4" s="2">
        <v>2500</v>
      </c>
      <c r="F4" s="96"/>
      <c r="G4" s="97"/>
    </row>
    <row r="5" spans="1:8" ht="12" customHeight="1" x14ac:dyDescent="0.2">
      <c r="A5" s="7" t="s">
        <v>144</v>
      </c>
      <c r="B5" s="21">
        <v>40</v>
      </c>
      <c r="D5" s="7" t="s">
        <v>0</v>
      </c>
      <c r="E5" s="21">
        <f>MAX(0,B6-B5)</f>
        <v>27</v>
      </c>
      <c r="F5" s="96"/>
      <c r="G5" s="97"/>
    </row>
    <row r="6" spans="1:8" ht="12" customHeight="1" x14ac:dyDescent="0.2">
      <c r="A6" s="7" t="s">
        <v>2</v>
      </c>
      <c r="B6" s="3">
        <v>67</v>
      </c>
      <c r="D6" s="36" t="s">
        <v>234</v>
      </c>
      <c r="E6" s="24">
        <v>0.245</v>
      </c>
      <c r="F6" s="96"/>
      <c r="G6" s="98"/>
    </row>
    <row r="7" spans="1:8" ht="12" customHeight="1" x14ac:dyDescent="0.2">
      <c r="A7" s="7" t="s">
        <v>310</v>
      </c>
      <c r="B7" s="2">
        <v>200000</v>
      </c>
      <c r="D7" s="7" t="str">
        <f>"AB-claim contant "&amp;FIXED(E6*100,2)&amp;"%, "&amp;E5&amp;" jaar tegen "&amp;FIXED(B13*100,2)&amp;"%"</f>
        <v>AB-claim contant 24,50%, 27 jaar tegen 1,80%</v>
      </c>
      <c r="E7" s="37">
        <f>IF(E16+B10-E8-E34=0,0,E42/(E16+B10-E8-E34))</f>
        <v>0.15134778812854818</v>
      </c>
      <c r="F7" s="96"/>
      <c r="G7" s="98"/>
    </row>
    <row r="8" spans="1:8" ht="12" customHeight="1" x14ac:dyDescent="0.2">
      <c r="A8" s="7" t="s">
        <v>98</v>
      </c>
      <c r="B8" s="5" t="s">
        <v>95</v>
      </c>
      <c r="D8" s="7" t="s">
        <v>209</v>
      </c>
      <c r="E8" s="2">
        <f>WinstIB/4</f>
        <v>50000</v>
      </c>
    </row>
    <row r="9" spans="1:8" ht="12" customHeight="1" x14ac:dyDescent="0.2">
      <c r="A9" s="7" t="s">
        <v>102</v>
      </c>
      <c r="B9" s="5" t="s">
        <v>15</v>
      </c>
      <c r="D9" s="7" t="s">
        <v>240</v>
      </c>
      <c r="E9" s="20">
        <f>MAX(WinstIB/2,minimaalgebruikelijkloon)</f>
        <v>100000</v>
      </c>
      <c r="G9" s="38"/>
    </row>
    <row r="10" spans="1:8" ht="12" customHeight="1" x14ac:dyDescent="0.2">
      <c r="A10" s="7" t="s">
        <v>97</v>
      </c>
      <c r="B10" s="2">
        <v>0</v>
      </c>
      <c r="D10" s="99" t="s">
        <v>203</v>
      </c>
      <c r="E10" s="20">
        <v>2400</v>
      </c>
      <c r="F10" s="96"/>
      <c r="G10" s="100"/>
    </row>
    <row r="11" spans="1:8" ht="12" customHeight="1" x14ac:dyDescent="0.2">
      <c r="A11" s="7" t="s">
        <v>3</v>
      </c>
      <c r="B11" s="2">
        <v>0</v>
      </c>
      <c r="D11" s="7" t="s">
        <v>97</v>
      </c>
      <c r="E11" s="38">
        <f>invAftrek</f>
        <v>0</v>
      </c>
      <c r="F11" s="96"/>
      <c r="G11" s="100"/>
    </row>
    <row r="12" spans="1:8" ht="12" customHeight="1" x14ac:dyDescent="0.2">
      <c r="A12" s="7" t="s">
        <v>212</v>
      </c>
      <c r="B12" s="10">
        <v>0.4</v>
      </c>
      <c r="D12" s="7" t="s">
        <v>3</v>
      </c>
      <c r="E12" s="101">
        <f>premieBeroepspensioen</f>
        <v>0</v>
      </c>
      <c r="F12" s="96"/>
      <c r="G12" s="100"/>
    </row>
    <row r="13" spans="1:8" ht="12" customHeight="1" x14ac:dyDescent="0.2">
      <c r="A13" s="7" t="s">
        <v>5</v>
      </c>
      <c r="B13" s="10">
        <v>1.7999999999999999E-2</v>
      </c>
      <c r="E13" s="37"/>
      <c r="F13" s="38"/>
      <c r="G13" s="26"/>
    </row>
    <row r="14" spans="1:8" ht="12" customHeight="1" x14ac:dyDescent="0.2">
      <c r="A14" s="7" t="s">
        <v>6</v>
      </c>
      <c r="B14" s="2">
        <v>0</v>
      </c>
      <c r="E14" s="102"/>
      <c r="F14" s="27"/>
      <c r="G14" s="26"/>
    </row>
    <row r="15" spans="1:8" ht="12" customHeight="1" x14ac:dyDescent="0.2">
      <c r="A15" s="7" t="s">
        <v>7</v>
      </c>
      <c r="B15" s="2">
        <v>0</v>
      </c>
      <c r="E15" s="37"/>
      <c r="F15" s="28"/>
      <c r="G15" s="26"/>
    </row>
    <row r="16" spans="1:8" ht="12" customHeight="1" x14ac:dyDescent="0.2">
      <c r="A16" s="7" t="s">
        <v>99</v>
      </c>
      <c r="B16" s="2">
        <v>0</v>
      </c>
      <c r="D16" s="7" t="s">
        <v>250</v>
      </c>
      <c r="E16" s="38">
        <f>WinstIB-KostenBV-loonDGA-wkr-invAftrek-premieBeroepspensioen</f>
        <v>95100</v>
      </c>
      <c r="F16" s="38"/>
      <c r="G16" s="26"/>
    </row>
    <row r="17" spans="1:7" ht="12" customHeight="1" x14ac:dyDescent="0.2">
      <c r="A17" s="7" t="s">
        <v>100</v>
      </c>
      <c r="B17" s="10">
        <v>0</v>
      </c>
      <c r="D17" s="7" t="s">
        <v>125</v>
      </c>
      <c r="E17" s="29">
        <f>IF(E34=0,0,E34/E16)</f>
        <v>0.19</v>
      </c>
    </row>
    <row r="18" spans="1:7" ht="12" customHeight="1" x14ac:dyDescent="0.2">
      <c r="F18" s="39"/>
      <c r="G18" s="26"/>
    </row>
    <row r="19" spans="1:7" ht="12" customHeight="1" x14ac:dyDescent="0.2">
      <c r="A19" s="35" t="s">
        <v>81</v>
      </c>
      <c r="B19" s="9"/>
      <c r="D19" s="35" t="s">
        <v>81</v>
      </c>
      <c r="E19" s="9"/>
      <c r="G19" s="103" t="s">
        <v>21</v>
      </c>
    </row>
    <row r="20" spans="1:7" ht="12" customHeight="1" x14ac:dyDescent="0.2">
      <c r="A20" s="7" t="s">
        <v>8</v>
      </c>
      <c r="B20" s="38">
        <f>B7</f>
        <v>200000</v>
      </c>
      <c r="D20" s="7" t="s">
        <v>240</v>
      </c>
      <c r="E20" s="38">
        <f>E9</f>
        <v>100000</v>
      </c>
      <c r="F20" s="38"/>
      <c r="G20" s="104"/>
    </row>
    <row r="21" spans="1:7" ht="12" customHeight="1" x14ac:dyDescent="0.2">
      <c r="A21" s="7" t="s">
        <v>94</v>
      </c>
      <c r="B21" s="38">
        <f>-B10</f>
        <v>0</v>
      </c>
      <c r="E21" s="38"/>
      <c r="F21" s="38"/>
      <c r="G21" s="104"/>
    </row>
    <row r="22" spans="1:7" ht="12" customHeight="1" x14ac:dyDescent="0.2">
      <c r="A22" s="7" t="s">
        <v>77</v>
      </c>
      <c r="B22" s="38">
        <f>IF(B7=0,0,IF(B8="ja",-Tabellen!D4)-IF(B9="ja",Tabellen!D5,0))</f>
        <v>-1200</v>
      </c>
      <c r="F22" s="38"/>
      <c r="G22" s="104"/>
    </row>
    <row r="23" spans="1:7" ht="12" customHeight="1" x14ac:dyDescent="0.2">
      <c r="A23" s="7" t="s">
        <v>78</v>
      </c>
      <c r="B23" s="38">
        <f>-B11</f>
        <v>0</v>
      </c>
      <c r="E23" s="38"/>
      <c r="F23" s="38"/>
      <c r="G23" s="104"/>
    </row>
    <row r="24" spans="1:7" ht="12" customHeight="1" x14ac:dyDescent="0.2">
      <c r="A24" s="7" t="s">
        <v>91</v>
      </c>
      <c r="B24" s="40">
        <f>-mkbvrijst*SUM(B20:B23)</f>
        <v>-25247.599999999999</v>
      </c>
      <c r="G24" s="104"/>
    </row>
    <row r="25" spans="1:7" ht="12" customHeight="1" x14ac:dyDescent="0.2">
      <c r="A25" s="7" t="s">
        <v>9</v>
      </c>
      <c r="B25" s="38">
        <f>IF(B14&gt;1350000,0.35%*1350000+2.35%*(B14-1350000),0.35%*B14)</f>
        <v>0</v>
      </c>
      <c r="D25" s="7" t="s">
        <v>9</v>
      </c>
      <c r="E25" s="38">
        <f>B25</f>
        <v>0</v>
      </c>
      <c r="G25" s="104"/>
    </row>
    <row r="26" spans="1:7" ht="12" customHeight="1" x14ac:dyDescent="0.2">
      <c r="A26" s="7" t="s">
        <v>75</v>
      </c>
      <c r="B26" s="38">
        <f>-B15</f>
        <v>0</v>
      </c>
      <c r="D26" s="7" t="s">
        <v>75</v>
      </c>
      <c r="E26" s="38">
        <f>B26</f>
        <v>0</v>
      </c>
      <c r="F26" s="38"/>
      <c r="G26" s="104"/>
    </row>
    <row r="27" spans="1:7" ht="12" customHeight="1" x14ac:dyDescent="0.2">
      <c r="A27" s="7" t="s">
        <v>208</v>
      </c>
      <c r="B27" s="38">
        <f>-IF(SUM(B25:B26)&gt;0,SUM(B25:B26),0)*71.867%</f>
        <v>0</v>
      </c>
      <c r="D27" s="7" t="s">
        <v>208</v>
      </c>
      <c r="E27" s="38">
        <f>B27</f>
        <v>0</v>
      </c>
      <c r="F27" s="38"/>
      <c r="G27" s="104"/>
    </row>
    <row r="28" spans="1:7" ht="12" customHeight="1" x14ac:dyDescent="0.2">
      <c r="A28" s="7" t="s">
        <v>204</v>
      </c>
      <c r="B28" s="2">
        <v>0</v>
      </c>
      <c r="D28" s="7" t="s">
        <v>204</v>
      </c>
      <c r="E28" s="2">
        <v>0</v>
      </c>
      <c r="F28" s="38"/>
      <c r="G28" s="104"/>
    </row>
    <row r="29" spans="1:7" ht="12" customHeight="1" x14ac:dyDescent="0.2">
      <c r="A29" s="7" t="s">
        <v>76</v>
      </c>
      <c r="B29" s="2">
        <v>0</v>
      </c>
      <c r="D29" s="7" t="s">
        <v>76</v>
      </c>
      <c r="E29" s="38">
        <f>B29</f>
        <v>0</v>
      </c>
      <c r="F29" s="38"/>
      <c r="G29" s="104"/>
    </row>
    <row r="30" spans="1:7" ht="12" customHeight="1" x14ac:dyDescent="0.2">
      <c r="A30" s="7" t="s">
        <v>92</v>
      </c>
      <c r="B30" s="6">
        <v>0</v>
      </c>
      <c r="D30" s="7" t="s">
        <v>92</v>
      </c>
      <c r="E30" s="6">
        <v>0</v>
      </c>
      <c r="F30" s="38"/>
      <c r="G30" s="104"/>
    </row>
    <row r="31" spans="1:7" ht="12" customHeight="1" x14ac:dyDescent="0.2">
      <c r="A31" s="7" t="s">
        <v>10</v>
      </c>
      <c r="B31" s="38">
        <f>SUM(B20:B30)</f>
        <v>173552.4</v>
      </c>
      <c r="D31" s="7" t="s">
        <v>10</v>
      </c>
      <c r="E31" s="38">
        <f>SUM(E20:E30)</f>
        <v>100000</v>
      </c>
      <c r="F31" s="38"/>
      <c r="G31" s="104"/>
    </row>
    <row r="32" spans="1:7" ht="12" customHeight="1" x14ac:dyDescent="0.2">
      <c r="A32" s="7" t="s">
        <v>79</v>
      </c>
      <c r="B32" s="38">
        <f>MAX(0,VLOOKUP(B31,tabelIB,3)+VLOOKUP(B31,tabelIB,4)*(B31-VLOOKUP(B31,tabelIB,1)))</f>
        <v>75839.567999999999</v>
      </c>
      <c r="D32" s="7" t="str">
        <f>IF(E8&gt;0,"Inkomstenbelasting box 1 en 2","Inkomstenbelasting box 1")</f>
        <v>Inkomstenbelasting box 1 en 2</v>
      </c>
      <c r="E32" s="38">
        <f>MAX(0,VLOOKUP(E31,tabelIB,3)+VLOOKUP(E31,tabelIB,4)*(E31-VLOOKUP(E31,tabelIB,1)))+E8*Tabellen!E30</f>
        <v>51681.13</v>
      </c>
      <c r="F32" s="38"/>
      <c r="G32" s="104"/>
    </row>
    <row r="33" spans="1:7" ht="12" customHeight="1" x14ac:dyDescent="0.2">
      <c r="A33" s="7" t="s">
        <v>177</v>
      </c>
      <c r="B33" s="38">
        <f>MAX(MIN(B31-B22-B24-B26-B29-Tabellen!A11,(0-B22-B24-B26-B29)),0)*(Tabellen!D11-Tabellen!E13)</f>
        <v>3157.8434400000001</v>
      </c>
      <c r="D33" s="7" t="str">
        <f>A33</f>
        <v>Bijtelling tariefcorrectie hoogste schijf</v>
      </c>
      <c r="E33" s="38">
        <f>MAX(MIN(E31-E26-E29-Tabellen!A11,(0-E26-E29)),0)*(Tabellen!D11-Tabellen!E13)</f>
        <v>0</v>
      </c>
      <c r="F33" s="38"/>
      <c r="G33" s="104"/>
    </row>
    <row r="34" spans="1:7" ht="12" customHeight="1" x14ac:dyDescent="0.2">
      <c r="D34" s="7" t="s">
        <v>11</v>
      </c>
      <c r="E34" s="38">
        <f>MAX(0,IF(E16&gt;Tabellen!E22,Tabellen!E24*Tabellen!E22+(E16-Tabellen!E22)*Tabellen!E23,E16*Tabellen!E24))</f>
        <v>18069</v>
      </c>
    </row>
    <row r="35" spans="1:7" ht="12" customHeight="1" x14ac:dyDescent="0.2">
      <c r="D35" s="7" t="s">
        <v>251</v>
      </c>
      <c r="E35" s="38">
        <f>KostenBV</f>
        <v>2500</v>
      </c>
      <c r="G35" s="104"/>
    </row>
    <row r="36" spans="1:7" ht="12" customHeight="1" x14ac:dyDescent="0.2">
      <c r="A36" s="7" t="s">
        <v>126</v>
      </c>
      <c r="B36" s="38">
        <f>Tabellen!D47</f>
        <v>0</v>
      </c>
      <c r="C36" s="26"/>
      <c r="D36" s="7" t="s">
        <v>126</v>
      </c>
      <c r="E36" s="38">
        <f>Tabellen!D51</f>
        <v>2143.0391999999997</v>
      </c>
      <c r="F36" s="38"/>
      <c r="G36" s="41"/>
    </row>
    <row r="37" spans="1:7" ht="12" customHeight="1" x14ac:dyDescent="0.2">
      <c r="A37" s="7" t="s">
        <v>127</v>
      </c>
      <c r="B37" s="38">
        <f>Tabellen!B47</f>
        <v>0</v>
      </c>
      <c r="C37" s="26"/>
      <c r="D37" s="7" t="s">
        <v>127</v>
      </c>
      <c r="E37" s="38">
        <f>Tabellen!B51</f>
        <v>0</v>
      </c>
      <c r="F37" s="38"/>
      <c r="G37" s="41"/>
    </row>
    <row r="38" spans="1:7" ht="12" customHeight="1" x14ac:dyDescent="0.2">
      <c r="A38" s="7" t="s">
        <v>328</v>
      </c>
      <c r="B38" s="38">
        <f>MAX(0,MIN(Tabellen!E35,SUM(B20:B24)*Tabellen!C35))</f>
        <v>3851</v>
      </c>
      <c r="C38" s="26"/>
      <c r="D38" s="7" t="s">
        <v>328</v>
      </c>
      <c r="E38" s="38">
        <f>MAX(0,MIN(Tabellen!E35,(E20+E21)*Tabellen!C35))</f>
        <v>3851</v>
      </c>
      <c r="F38" s="38"/>
      <c r="G38" s="41"/>
    </row>
    <row r="39" spans="1:7" ht="12" customHeight="1" x14ac:dyDescent="0.2">
      <c r="A39" s="35" t="s">
        <v>74</v>
      </c>
      <c r="B39" s="105">
        <f>B32+B33-B36-B37+B38</f>
        <v>82848.411439999996</v>
      </c>
      <c r="C39" s="106"/>
      <c r="D39" s="35" t="str">
        <f>IF(E7="","","Totaal lasten excl. fiscale claims")</f>
        <v>Totaal lasten excl. fiscale claims</v>
      </c>
      <c r="E39" s="105">
        <f>IF(E7="","",SUM(E32:E35)-E36-E37)+E38</f>
        <v>73958.090800000005</v>
      </c>
      <c r="F39" s="41"/>
      <c r="G39" s="107">
        <f>IF(E7="","",B39-E39)</f>
        <v>8890.3206399999908</v>
      </c>
    </row>
    <row r="40" spans="1:7" ht="12" customHeight="1" x14ac:dyDescent="0.2">
      <c r="A40" s="7" t="s">
        <v>207</v>
      </c>
      <c r="B40" s="38">
        <f>-B12*(B28)/(1+B13)^(B6-B5)</f>
        <v>0</v>
      </c>
      <c r="C40" s="26"/>
      <c r="D40" s="7" t="s">
        <v>205</v>
      </c>
      <c r="E40" s="38">
        <f>(-E28*B12)/(1+B13)^(B6-B5)</f>
        <v>0</v>
      </c>
      <c r="F40" s="38"/>
      <c r="G40" s="26"/>
    </row>
    <row r="41" spans="1:7" ht="12" customHeight="1" x14ac:dyDescent="0.2">
      <c r="A41" s="7" t="s">
        <v>12</v>
      </c>
      <c r="B41" s="38">
        <f>(B11*B12)/(1+B13)^(B6-B5)</f>
        <v>0</v>
      </c>
      <c r="C41" s="26"/>
      <c r="D41" s="7" t="s">
        <v>12</v>
      </c>
      <c r="E41" s="38">
        <f>B41</f>
        <v>0</v>
      </c>
      <c r="F41" s="38"/>
      <c r="G41" s="26"/>
    </row>
    <row r="42" spans="1:7" ht="12" customHeight="1" x14ac:dyDescent="0.2">
      <c r="D42" s="7" t="str">
        <f>D7</f>
        <v>AB-claim contant 24,50%, 27 jaar tegen 1,80%</v>
      </c>
      <c r="E42" s="38">
        <f>MAX(,0,E6*(E16+E11-E8-E34)/(1+B13)^Jaren)</f>
        <v>4091.082060902786</v>
      </c>
      <c r="F42" s="38"/>
      <c r="G42" s="26"/>
    </row>
    <row r="43" spans="1:7" ht="12" customHeight="1" x14ac:dyDescent="0.2">
      <c r="B43" s="38"/>
      <c r="D43" s="7" t="s">
        <v>271</v>
      </c>
      <c r="E43" s="38">
        <f>AB*B16*B17</f>
        <v>0</v>
      </c>
      <c r="F43" s="38"/>
    </row>
    <row r="44" spans="1:7" ht="12" customHeight="1" x14ac:dyDescent="0.2">
      <c r="A44" s="35" t="s">
        <v>80</v>
      </c>
      <c r="B44" s="108">
        <f>B39+B40+B41</f>
        <v>82848.411439999996</v>
      </c>
      <c r="C44" s="109"/>
      <c r="D44" s="35" t="str">
        <f>IF(E7="","","Totaal lasten incl. fiscale claims")</f>
        <v>Totaal lasten incl. fiscale claims</v>
      </c>
      <c r="E44" s="108">
        <f>IF(E7="","",SUM(E39:E43))</f>
        <v>78049.172860902792</v>
      </c>
      <c r="F44" s="110"/>
      <c r="G44" s="111">
        <f>IF(E7="","",B44-E44)</f>
        <v>4799.2385790972039</v>
      </c>
    </row>
    <row r="45" spans="1:7" ht="12" customHeight="1" x14ac:dyDescent="0.2">
      <c r="A45" s="7" t="s">
        <v>82</v>
      </c>
      <c r="B45" s="26">
        <f>IF(B7=0,0,B44/(B20+B30))</f>
        <v>0.41424205719999996</v>
      </c>
      <c r="D45" s="7" t="s">
        <v>124</v>
      </c>
      <c r="E45" s="29">
        <f>IF(E7="","",IF(B7=0,0,(E44-E35)/(B7+E30)))</f>
        <v>0.37774586430451396</v>
      </c>
      <c r="F45" s="29"/>
      <c r="G45" s="112">
        <f>B45-E45</f>
        <v>3.6496192895486002E-2</v>
      </c>
    </row>
    <row r="46" spans="1:7" ht="12" customHeight="1" x14ac:dyDescent="0.2"/>
    <row r="47" spans="1:7" ht="12" customHeight="1" x14ac:dyDescent="0.2">
      <c r="D47" s="7" t="s">
        <v>235</v>
      </c>
      <c r="E47" s="38">
        <f>loonDGA+wkr+dividendLevensonderhoud-E32-E33+E36+E37-E38</f>
        <v>99010.909199999995</v>
      </c>
    </row>
    <row r="48" spans="1:7" ht="12" customHeight="1" x14ac:dyDescent="0.2">
      <c r="D48" s="36" t="s">
        <v>253</v>
      </c>
      <c r="E48" s="38">
        <f>winstVoorVPB+invAftrek-vpb-dividendLevensonderhoud</f>
        <v>27031</v>
      </c>
    </row>
    <row r="49" spans="1:7" ht="12" customHeight="1" x14ac:dyDescent="0.2">
      <c r="A49" s="35" t="s">
        <v>236</v>
      </c>
      <c r="B49" s="108">
        <f>WinstIB-premieBeroepspensioen-B39</f>
        <v>117151.58856</v>
      </c>
      <c r="C49" s="109"/>
      <c r="D49" s="35" t="s">
        <v>254</v>
      </c>
      <c r="E49" s="108">
        <f>E47+E48</f>
        <v>126041.90919999999</v>
      </c>
      <c r="F49" s="110"/>
      <c r="G49" s="111">
        <f>E49-B49</f>
        <v>8890.3206399999908</v>
      </c>
    </row>
    <row r="50" spans="1:7" ht="12" customHeight="1" x14ac:dyDescent="0.2"/>
    <row r="51" spans="1:7" ht="12" customHeight="1" x14ac:dyDescent="0.2"/>
  </sheetData>
  <sheetProtection sheet="1" objects="1" scenarios="1" autoFilter="0"/>
  <phoneticPr fontId="0" type="noConversion"/>
  <conditionalFormatting sqref="F3:F7 F10:F12">
    <cfRule type="cellIs" dxfId="3" priority="1" stopIfTrue="1" operator="equal">
      <formula>"Na invoer"</formula>
    </cfRule>
    <cfRule type="cellIs" dxfId="2" priority="2" stopIfTrue="1" operator="notEqual">
      <formula>"""Na Invoer"""</formula>
    </cfRule>
  </conditionalFormatting>
  <conditionalFormatting sqref="G3:G5 G10:G12">
    <cfRule type="cellIs" dxfId="1" priority="3" stopIfTrue="1" operator="equal">
      <formula>"Na invoer"</formula>
    </cfRule>
    <cfRule type="cellIs" dxfId="0" priority="4" stopIfTrue="1" operator="notEqual">
      <formula>"""Na Invoer"""</formula>
    </cfRule>
  </conditionalFormatting>
  <dataValidations xWindow="346" yWindow="555" count="8">
    <dataValidation type="whole" allowBlank="1" showInputMessage="1" showErrorMessage="1" error="Bedrag met - teken invoeren!" promptTitle="Minteken" prompt="Bedrag met _x000a_- teken invoeren." sqref="E28" xr:uid="{00000000-0002-0000-0000-000000000000}">
      <formula1>-100000</formula1>
      <formula2>0</formula2>
    </dataValidation>
    <dataValidation type="whole" allowBlank="1" showInputMessage="1" showErrorMessage="1" error="Bedragen met - teken invoeren!" promptTitle="Minteken" prompt="Bedrag met _x000a_- teken invoeren_x000a_" sqref="B29" xr:uid="{00000000-0002-0000-0000-000001000000}">
      <formula1>-100000</formula1>
      <formula2>0</formula2>
    </dataValidation>
    <dataValidation type="list" allowBlank="1" showInputMessage="1" showErrorMessage="1" sqref="B8:B9" xr:uid="{00000000-0002-0000-0000-000002000000}">
      <formula1>"ja,nee"</formula1>
    </dataValidation>
    <dataValidation allowBlank="1" showErrorMessage="1" errorTitle="Dividenduitkering" error="Er wordt meer dividend uitgekeerd dan de winst toelaat. Verlaag het dividend!" sqref="E8" xr:uid="{00000000-0002-0000-0000-000003000000}"/>
    <dataValidation type="decimal" allowBlank="1" showErrorMessage="1" errorTitle="MFAS Validatie" error="Vul een percentage in tussen 0 en 100." promptTitle="Validatie MFAS" prompt="Vul een percentage in tussen 0 en 100." sqref="F14" xr:uid="{00000000-0002-0000-0000-000004000000}">
      <formula1>0</formula1>
      <formula2>1</formula2>
    </dataValidation>
    <dataValidation allowBlank="1" showErrorMessage="1" errorTitle="MFAS Validatie" error="Vul een percentage in tussen 0 en 100." promptTitle="Validatie MFAS" prompt="Vul een percentage in tussen 0 en 100." sqref="F15" xr:uid="{00000000-0002-0000-0000-000005000000}"/>
    <dataValidation allowBlank="1" showErrorMessage="1" sqref="E30" xr:uid="{00000000-0002-0000-0000-000006000000}"/>
    <dataValidation type="whole" allowBlank="1" showInputMessage="1" showErrorMessage="1" error="Bedrag met - teken invoeren!" promptTitle="Minteken" prompt="Bedrag met _x000a_- teken invoeren_x000a_" sqref="B28" xr:uid="{00000000-0002-0000-0000-000007000000}">
      <formula1>-100000</formula1>
      <formula2>0</formula2>
    </dataValidation>
  </dataValidations>
  <pageMargins left="0.39370078740157483" right="0.39370078740157483" top="0.98425196850393704" bottom="0.98425196850393704" header="0.51181102362204722" footer="0.51181102362204722"/>
  <pageSetup paperSize="9" orientation="portrait" r:id="rId1"/>
  <headerFooter alignWithMargins="0"/>
  <ignoredErrors>
    <ignoredError sqref="E5 E8:E9" unlocked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1"/>
  <dimension ref="A1:E15"/>
  <sheetViews>
    <sheetView showGridLines="0" zoomScaleNormal="100" workbookViewId="0">
      <selection activeCell="B3" sqref="B3"/>
    </sheetView>
  </sheetViews>
  <sheetFormatPr defaultColWidth="0" defaultRowHeight="11.25" zeroHeight="1" x14ac:dyDescent="0.2"/>
  <cols>
    <col min="1" max="1" width="30.5703125" style="11" customWidth="1"/>
    <col min="2" max="4" width="12.5703125" style="11" customWidth="1"/>
    <col min="5" max="5" width="3.5703125" style="11" customWidth="1"/>
    <col min="6" max="16384" width="9" style="11" hidden="1"/>
  </cols>
  <sheetData>
    <row r="1" spans="1:5" s="13" customFormat="1" ht="18" customHeight="1" x14ac:dyDescent="0.2">
      <c r="A1" s="85" t="str">
        <f>"Conversie salaris in dividend - " &amp; versie</f>
        <v>Conversie salaris in dividend - v20260304</v>
      </c>
      <c r="B1" s="85"/>
      <c r="C1" s="85"/>
      <c r="D1" s="85"/>
      <c r="E1" s="85"/>
    </row>
    <row r="2" spans="1:5" ht="12" customHeight="1" x14ac:dyDescent="0.2"/>
    <row r="3" spans="1:5" ht="12" customHeight="1" x14ac:dyDescent="0.2">
      <c r="A3" s="7" t="s">
        <v>162</v>
      </c>
      <c r="B3" s="23">
        <v>0.245</v>
      </c>
    </row>
    <row r="4" spans="1:5" ht="12" customHeight="1" x14ac:dyDescent="0.2">
      <c r="A4" s="11" t="s">
        <v>83</v>
      </c>
      <c r="B4" s="14">
        <v>0.495</v>
      </c>
    </row>
    <row r="5" spans="1:5" ht="12" customHeight="1" x14ac:dyDescent="0.2">
      <c r="A5" s="7" t="s">
        <v>123</v>
      </c>
      <c r="B5" s="14">
        <v>0.19</v>
      </c>
    </row>
    <row r="6" spans="1:5" ht="12" customHeight="1" x14ac:dyDescent="0.2">
      <c r="A6" s="11" t="s">
        <v>86</v>
      </c>
      <c r="B6" s="12"/>
    </row>
    <row r="7" spans="1:5" ht="12" customHeight="1" x14ac:dyDescent="0.2">
      <c r="A7" s="11" t="s">
        <v>88</v>
      </c>
      <c r="B7" s="42">
        <f>B4*B6</f>
        <v>0</v>
      </c>
    </row>
    <row r="8" spans="1:5" ht="12" customHeight="1" x14ac:dyDescent="0.2">
      <c r="A8" s="11" t="s">
        <v>84</v>
      </c>
      <c r="C8" s="42">
        <f>B6-B7</f>
        <v>0</v>
      </c>
    </row>
    <row r="9" spans="1:5" ht="12" customHeight="1" x14ac:dyDescent="0.2">
      <c r="C9" s="42"/>
    </row>
    <row r="10" spans="1:5" ht="12" customHeight="1" x14ac:dyDescent="0.2">
      <c r="A10" s="8" t="s">
        <v>255</v>
      </c>
      <c r="C10" s="42"/>
    </row>
    <row r="11" spans="1:5" ht="12" customHeight="1" x14ac:dyDescent="0.2">
      <c r="A11" s="11" t="s">
        <v>85</v>
      </c>
      <c r="B11" s="43">
        <f>C8/(100%-B3)</f>
        <v>0</v>
      </c>
      <c r="C11" s="34" t="str">
        <f>" &lt;  invullen in eerste werkblad cel " &amp; ADDRESS(ROW(dividendLevensonderhoud),COLUMN(dividendLevensonderhoud),4)</f>
        <v xml:space="preserve"> &lt;  invullen in eerste werkblad cel E8</v>
      </c>
      <c r="D11" s="44"/>
      <c r="E11" s="44"/>
    </row>
    <row r="12" spans="1:5" ht="12" customHeight="1" x14ac:dyDescent="0.2">
      <c r="A12" s="7" t="s">
        <v>256</v>
      </c>
      <c r="B12" s="42">
        <f>B3*B11</f>
        <v>0</v>
      </c>
      <c r="C12" s="44"/>
      <c r="D12" s="44"/>
      <c r="E12" s="44"/>
    </row>
    <row r="13" spans="1:5" ht="12" customHeight="1" x14ac:dyDescent="0.2">
      <c r="A13" s="11" t="s">
        <v>84</v>
      </c>
      <c r="C13" s="42">
        <f>B11-B12</f>
        <v>0</v>
      </c>
    </row>
    <row r="14" spans="1:5" x14ac:dyDescent="0.2"/>
    <row r="15" spans="1:5" x14ac:dyDescent="0.2"/>
  </sheetData>
  <sheetProtection sheet="1" objects="1" scenarios="1" autoFilter="0"/>
  <phoneticPr fontId="16"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1:IU64"/>
  <sheetViews>
    <sheetView showGridLines="0" zoomScaleNormal="100" workbookViewId="0">
      <selection activeCell="B4" sqref="B4"/>
    </sheetView>
  </sheetViews>
  <sheetFormatPr defaultColWidth="0" defaultRowHeight="12.75" zeroHeight="1" x14ac:dyDescent="0.2"/>
  <cols>
    <col min="1" max="1" width="63.42578125" customWidth="1"/>
    <col min="2" max="2" width="12.5703125" customWidth="1"/>
    <col min="3" max="3" width="3.5703125" customWidth="1"/>
    <col min="4" max="255" width="8.85546875" hidden="1" customWidth="1"/>
    <col min="256" max="16384" width="6.5703125" hidden="1"/>
  </cols>
  <sheetData>
    <row r="1" spans="1:3" ht="18" customHeight="1" x14ac:dyDescent="0.2">
      <c r="A1" s="86" t="str">
        <f>"Inbreng met geruis, voordeel lijfrenteaftrek - " &amp; versie</f>
        <v>Inbreng met geruis, voordeel lijfrenteaftrek - v20260304</v>
      </c>
      <c r="B1" s="86"/>
      <c r="C1" s="86"/>
    </row>
    <row r="2" spans="1:3" ht="12" customHeight="1" x14ac:dyDescent="0.2">
      <c r="A2" s="1"/>
      <c r="B2" s="1"/>
      <c r="C2" s="1"/>
    </row>
    <row r="3" spans="1:3" ht="12" customHeight="1" x14ac:dyDescent="0.2">
      <c r="A3" s="45" t="s">
        <v>13</v>
      </c>
      <c r="B3" s="1"/>
      <c r="C3" s="1"/>
    </row>
    <row r="4" spans="1:3" ht="12" customHeight="1" x14ac:dyDescent="0.2">
      <c r="A4" s="1" t="s">
        <v>257</v>
      </c>
      <c r="B4" s="33" t="s">
        <v>289</v>
      </c>
    </row>
    <row r="5" spans="1:3" ht="12" customHeight="1" x14ac:dyDescent="0.2">
      <c r="A5" s="1" t="s">
        <v>66</v>
      </c>
      <c r="B5" s="3">
        <f>'BV ja, BV nee'!B6</f>
        <v>67</v>
      </c>
    </row>
    <row r="6" spans="1:3" ht="12" customHeight="1" x14ac:dyDescent="0.2">
      <c r="A6" s="1" t="s">
        <v>65</v>
      </c>
      <c r="B6" s="3">
        <f>B5+20</f>
        <v>87</v>
      </c>
    </row>
    <row r="7" spans="1:3" ht="12" customHeight="1" x14ac:dyDescent="0.2">
      <c r="A7" s="1" t="s">
        <v>14</v>
      </c>
      <c r="B7" s="5" t="s">
        <v>15</v>
      </c>
    </row>
    <row r="8" spans="1:3" ht="12" customHeight="1" x14ac:dyDescent="0.2">
      <c r="A8" s="46" t="s">
        <v>64</v>
      </c>
      <c r="B8" s="5" t="s">
        <v>95</v>
      </c>
    </row>
    <row r="9" spans="1:3" ht="12" customHeight="1" x14ac:dyDescent="0.2">
      <c r="A9" s="1" t="s">
        <v>63</v>
      </c>
      <c r="B9" s="38">
        <f>IF(B4="medium",StakingslijfrenteMedium,IF(B4="laag",StakingslijfrenteLaag,StakingslijfrenteHoog))</f>
        <v>574867</v>
      </c>
    </row>
    <row r="10" spans="1:3" ht="12" customHeight="1" x14ac:dyDescent="0.2">
      <c r="A10" s="1" t="s">
        <v>16</v>
      </c>
      <c r="B10" s="2">
        <v>0</v>
      </c>
    </row>
    <row r="11" spans="1:3" ht="12" customHeight="1" x14ac:dyDescent="0.2">
      <c r="A11" s="1" t="s">
        <v>245</v>
      </c>
      <c r="B11" s="2">
        <v>0</v>
      </c>
    </row>
    <row r="12" spans="1:3" ht="12" customHeight="1" x14ac:dyDescent="0.2">
      <c r="A12" s="46" t="s">
        <v>244</v>
      </c>
      <c r="B12" s="2">
        <v>0</v>
      </c>
    </row>
    <row r="13" spans="1:3" ht="12" customHeight="1" x14ac:dyDescent="0.2">
      <c r="A13" s="46" t="s">
        <v>246</v>
      </c>
      <c r="B13" s="6">
        <v>0</v>
      </c>
    </row>
    <row r="14" spans="1:3" ht="12" customHeight="1" x14ac:dyDescent="0.2">
      <c r="A14" s="1" t="s">
        <v>17</v>
      </c>
      <c r="B14" s="40">
        <f>B9-B10-B11-B12-B13</f>
        <v>574867</v>
      </c>
    </row>
    <row r="15" spans="1:3" ht="12" customHeight="1" x14ac:dyDescent="0.2">
      <c r="A15" s="47" t="s">
        <v>93</v>
      </c>
      <c r="B15" s="48">
        <f>MIN(Jaarruimte,30%*(MAX(0,(WinstIB+B17+B18-AOWfranchise))))+Reserveringsruimte</f>
        <v>78342</v>
      </c>
    </row>
    <row r="16" spans="1:3" ht="12" customHeight="1" x14ac:dyDescent="0.2">
      <c r="B16" s="40">
        <f>B14+B15</f>
        <v>653209</v>
      </c>
    </row>
    <row r="17" spans="1:2" ht="12" customHeight="1" x14ac:dyDescent="0.2">
      <c r="A17" s="1" t="s">
        <v>139</v>
      </c>
      <c r="B17" s="2"/>
    </row>
    <row r="18" spans="1:2" ht="12" customHeight="1" x14ac:dyDescent="0.2">
      <c r="A18" s="1" t="s">
        <v>137</v>
      </c>
      <c r="B18" s="2"/>
    </row>
    <row r="19" spans="1:2" s="7" customFormat="1" ht="12" customHeight="1" x14ac:dyDescent="0.2">
      <c r="A19" s="7" t="s">
        <v>138</v>
      </c>
      <c r="B19" s="38">
        <f>MAX(0,(B17+B18)-B16)</f>
        <v>0</v>
      </c>
    </row>
    <row r="20" spans="1:2" s="7" customFormat="1" ht="12" customHeight="1" x14ac:dyDescent="0.2">
      <c r="A20" s="7" t="s">
        <v>141</v>
      </c>
      <c r="B20" s="38">
        <f>B11+B17+B18</f>
        <v>0</v>
      </c>
    </row>
    <row r="21" spans="1:2" ht="12" customHeight="1" x14ac:dyDescent="0.2">
      <c r="A21" s="1" t="s">
        <v>163</v>
      </c>
      <c r="B21" s="10">
        <v>0.495</v>
      </c>
    </row>
    <row r="22" spans="1:2" ht="12" customHeight="1" x14ac:dyDescent="0.2">
      <c r="A22" s="46" t="s">
        <v>89</v>
      </c>
      <c r="B22" s="40">
        <f>mkbvrijst*(B11+B17+B18)*MIN(B21,Tabellen!D10)</f>
        <v>0</v>
      </c>
    </row>
    <row r="23" spans="1:2" ht="12" customHeight="1" x14ac:dyDescent="0.2">
      <c r="A23" s="1" t="s">
        <v>90</v>
      </c>
      <c r="B23" s="40">
        <f>MAX(0,B17+B18-B16)</f>
        <v>0</v>
      </c>
    </row>
    <row r="24" spans="1:2" ht="12" customHeight="1" x14ac:dyDescent="0.2">
      <c r="A24" s="1" t="s">
        <v>154</v>
      </c>
      <c r="B24" s="40">
        <f>B21*B23</f>
        <v>0</v>
      </c>
    </row>
    <row r="25" spans="1:2" ht="12" customHeight="1" x14ac:dyDescent="0.2">
      <c r="A25" s="1" t="s">
        <v>140</v>
      </c>
      <c r="B25" s="40">
        <f>IF(B8="ja",MAX(0,MIN(B14,B17+B18-B15)),0)</f>
        <v>0</v>
      </c>
    </row>
    <row r="26" spans="1:2" ht="12" customHeight="1" x14ac:dyDescent="0.2">
      <c r="A26" s="1" t="s">
        <v>152</v>
      </c>
      <c r="B26" s="40">
        <f>MAX(0,(MIN(B14+B15,B17+B18)-B25))</f>
        <v>0</v>
      </c>
    </row>
    <row r="27" spans="1:2" ht="12" customHeight="1" x14ac:dyDescent="0.2">
      <c r="A27" s="1" t="s">
        <v>147</v>
      </c>
      <c r="B27" s="40">
        <f>B11</f>
        <v>0</v>
      </c>
    </row>
    <row r="28" spans="1:2" ht="12" customHeight="1" x14ac:dyDescent="0.2">
      <c r="A28" s="1" t="s">
        <v>18</v>
      </c>
      <c r="B28" s="3">
        <v>10</v>
      </c>
    </row>
    <row r="29" spans="1:2" ht="12" customHeight="1" x14ac:dyDescent="0.2">
      <c r="A29" s="1" t="s">
        <v>164</v>
      </c>
      <c r="B29" s="3">
        <v>40</v>
      </c>
    </row>
    <row r="30" spans="1:2" ht="12" customHeight="1" x14ac:dyDescent="0.2">
      <c r="A30" s="1" t="s">
        <v>122</v>
      </c>
      <c r="B30" s="10">
        <v>0.19</v>
      </c>
    </row>
    <row r="31" spans="1:2" ht="12" customHeight="1" x14ac:dyDescent="0.2">
      <c r="A31" s="1" t="s">
        <v>153</v>
      </c>
      <c r="B31" s="4">
        <v>0.02</v>
      </c>
    </row>
    <row r="32" spans="1:2" ht="12" customHeight="1" x14ac:dyDescent="0.2">
      <c r="A32" s="1" t="s">
        <v>258</v>
      </c>
      <c r="B32" s="22">
        <f>B5-'BV ja, BV nee'!B5</f>
        <v>27</v>
      </c>
    </row>
    <row r="33" spans="1:2" ht="12" customHeight="1" x14ac:dyDescent="0.2">
      <c r="A33" s="1" t="s">
        <v>67</v>
      </c>
      <c r="B33" s="49">
        <f>(B5-'BV ja, BV nee'!B5)+(B6-B5)/2</f>
        <v>37</v>
      </c>
    </row>
    <row r="34" spans="1:2" ht="12" customHeight="1" x14ac:dyDescent="0.2">
      <c r="A34" s="1" t="s">
        <v>329</v>
      </c>
      <c r="B34" s="10">
        <v>0.4</v>
      </c>
    </row>
    <row r="35" spans="1:2" ht="12" customHeight="1" x14ac:dyDescent="0.2">
      <c r="A35" s="1" t="s">
        <v>149</v>
      </c>
      <c r="B35" s="38">
        <f>MAX(0,(B26*B34)/(1+B31)^B33)</f>
        <v>0</v>
      </c>
    </row>
    <row r="36" spans="1:2" ht="12" customHeight="1" x14ac:dyDescent="0.2">
      <c r="A36" s="1" t="s">
        <v>148</v>
      </c>
      <c r="B36" s="40">
        <f>MAX(0,(B27*B34)/(1+B31)^B33)</f>
        <v>0</v>
      </c>
    </row>
    <row r="37" spans="1:2" ht="12" customHeight="1" x14ac:dyDescent="0.2">
      <c r="A37" s="46" t="s">
        <v>70</v>
      </c>
      <c r="B37" s="49">
        <f>(B6-'BV ja, BV nee'!B5)/2</f>
        <v>23.5</v>
      </c>
    </row>
    <row r="38" spans="1:2" ht="12" customHeight="1" x14ac:dyDescent="0.2">
      <c r="A38" s="46" t="s">
        <v>72</v>
      </c>
      <c r="B38" s="40">
        <f>MIN((B17+B18-B27),IF(B8="ja",B25,0))</f>
        <v>0</v>
      </c>
    </row>
    <row r="39" spans="1:2" ht="12" customHeight="1" x14ac:dyDescent="0.2">
      <c r="A39" s="1" t="s">
        <v>68</v>
      </c>
      <c r="B39" s="10">
        <v>0.495</v>
      </c>
    </row>
    <row r="40" spans="1:2" ht="12" customHeight="1" x14ac:dyDescent="0.2">
      <c r="A40" s="1" t="s">
        <v>69</v>
      </c>
      <c r="B40" s="40">
        <f>MAX(0,(B38*B39)/(1+B31)^B37)</f>
        <v>0</v>
      </c>
    </row>
    <row r="41" spans="1:2" ht="12" customHeight="1" x14ac:dyDescent="0.2">
      <c r="A41" s="46" t="s">
        <v>71</v>
      </c>
      <c r="B41" s="40">
        <f>B35+B36+B40</f>
        <v>0</v>
      </c>
    </row>
    <row r="42" spans="1:2" ht="12" customHeight="1" x14ac:dyDescent="0.2">
      <c r="A42" s="1"/>
      <c r="B42" s="1"/>
    </row>
    <row r="43" spans="1:2" ht="12" customHeight="1" x14ac:dyDescent="0.2">
      <c r="A43" s="1" t="s">
        <v>19</v>
      </c>
      <c r="B43" s="50">
        <f>B17/B28*B30</f>
        <v>0</v>
      </c>
    </row>
    <row r="44" spans="1:2" ht="12" customHeight="1" x14ac:dyDescent="0.2">
      <c r="A44" s="1"/>
      <c r="B44" s="50"/>
    </row>
    <row r="45" spans="1:2" ht="12" customHeight="1" x14ac:dyDescent="0.2">
      <c r="A45" s="51" t="s">
        <v>108</v>
      </c>
    </row>
    <row r="46" spans="1:2" ht="12" customHeight="1" x14ac:dyDescent="0.2">
      <c r="A46" s="1" t="s">
        <v>150</v>
      </c>
      <c r="B46" s="50">
        <f>-PV(B31,B28,B43)</f>
        <v>0</v>
      </c>
    </row>
    <row r="47" spans="1:2" ht="12" customHeight="1" x14ac:dyDescent="0.2">
      <c r="A47" s="1" t="s">
        <v>165</v>
      </c>
      <c r="B47" s="50">
        <f>B18*B30/(1+B31)^B29</f>
        <v>0</v>
      </c>
    </row>
    <row r="48" spans="1:2" ht="12" customHeight="1" x14ac:dyDescent="0.2">
      <c r="A48" s="1" t="s">
        <v>330</v>
      </c>
      <c r="B48" s="50">
        <f>-mkbvrijst*B11*B21</f>
        <v>0</v>
      </c>
    </row>
    <row r="49" spans="1:3" ht="12" customHeight="1" x14ac:dyDescent="0.2">
      <c r="A49" s="1" t="s">
        <v>331</v>
      </c>
      <c r="B49" s="50">
        <f>B36</f>
        <v>0</v>
      </c>
    </row>
    <row r="50" spans="1:3" ht="12" customHeight="1" x14ac:dyDescent="0.2">
      <c r="A50" s="1" t="s">
        <v>133</v>
      </c>
      <c r="B50" s="50">
        <f>'BV ja, BV nee'!E6/(1+B31)^B32*(B17-B46+B18-B47)</f>
        <v>0</v>
      </c>
    </row>
    <row r="51" spans="1:3" ht="12" customHeight="1" x14ac:dyDescent="0.2">
      <c r="A51" s="1" t="s">
        <v>106</v>
      </c>
      <c r="B51" s="52">
        <f>-IF(B11&gt;0,3630*B21*(1-mkbvrijst),0)</f>
        <v>0</v>
      </c>
    </row>
    <row r="52" spans="1:3" ht="12" customHeight="1" x14ac:dyDescent="0.2">
      <c r="A52" s="1" t="s">
        <v>107</v>
      </c>
      <c r="B52" s="50">
        <f>SUM(B46:B51)</f>
        <v>0</v>
      </c>
    </row>
    <row r="53" spans="1:3" ht="12" customHeight="1" x14ac:dyDescent="0.2">
      <c r="A53" s="1"/>
      <c r="B53" s="50"/>
    </row>
    <row r="54" spans="1:3" ht="12" customHeight="1" x14ac:dyDescent="0.2">
      <c r="A54" s="45" t="s">
        <v>109</v>
      </c>
      <c r="B54" s="50"/>
    </row>
    <row r="55" spans="1:3" ht="12" customHeight="1" x14ac:dyDescent="0.2">
      <c r="A55" s="1" t="s">
        <v>151</v>
      </c>
      <c r="B55" s="50">
        <f>B24</f>
        <v>0</v>
      </c>
    </row>
    <row r="56" spans="1:3" ht="12" customHeight="1" x14ac:dyDescent="0.2">
      <c r="A56" s="1" t="s">
        <v>146</v>
      </c>
      <c r="B56" s="50">
        <f>-B22</f>
        <v>0</v>
      </c>
    </row>
    <row r="57" spans="1:3" ht="12" customHeight="1" x14ac:dyDescent="0.2">
      <c r="A57" s="1" t="s">
        <v>106</v>
      </c>
      <c r="B57" s="50">
        <f>IF(B52=0,0,-3630*B21*(1-mkbvrijst))</f>
        <v>0</v>
      </c>
    </row>
    <row r="58" spans="1:3" ht="12" customHeight="1" x14ac:dyDescent="0.2">
      <c r="A58" s="1" t="s">
        <v>20</v>
      </c>
      <c r="B58" s="52">
        <f>B41</f>
        <v>0</v>
      </c>
    </row>
    <row r="59" spans="1:3" ht="12" customHeight="1" x14ac:dyDescent="0.2">
      <c r="A59" s="1" t="s">
        <v>107</v>
      </c>
      <c r="B59" s="50">
        <f>SUM(B54:B58)</f>
        <v>0</v>
      </c>
    </row>
    <row r="60" spans="1:3" ht="12" customHeight="1" x14ac:dyDescent="0.2">
      <c r="A60" s="53"/>
      <c r="B60" s="54"/>
      <c r="C60" s="53"/>
    </row>
    <row r="61" spans="1:3" ht="12" customHeight="1" x14ac:dyDescent="0.2">
      <c r="A61" s="8" t="s">
        <v>73</v>
      </c>
    </row>
    <row r="62" spans="1:3" ht="12" customHeight="1" x14ac:dyDescent="0.2">
      <c r="A62" s="55" t="str">
        <f>IF(B59=0,"",IF(B59&lt;B52,"Ruisende inbreng is voordelig.","Ruisende inbreng is niet voordelig."))</f>
        <v/>
      </c>
    </row>
    <row r="63" spans="1:3" x14ac:dyDescent="0.2"/>
    <row r="64" spans="1:3" x14ac:dyDescent="0.2"/>
  </sheetData>
  <sheetProtection sheet="1" objects="1" scenarios="1" autoFilter="0"/>
  <phoneticPr fontId="0" type="noConversion"/>
  <dataValidations count="2">
    <dataValidation type="list" allowBlank="1" showInputMessage="1" showErrorMessage="1" sqref="B7:B8" xr:uid="{00000000-0002-0000-0200-000000000000}">
      <formula1>"ja,nee"</formula1>
    </dataValidation>
    <dataValidation type="list" allowBlank="1" showInputMessage="1" showErrorMessage="1" sqref="B4" xr:uid="{00000000-0002-0000-0200-000001000000}">
      <formula1>"hoog,medium,laag"</formula1>
    </dataValidation>
  </dataValidations>
  <pageMargins left="0.74803149606299213" right="0.74803149606299213" top="0.86614173228346458" bottom="0.86614173228346458" header="0.51181102362204722" footer="0.51181102362204722"/>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V44"/>
  <sheetViews>
    <sheetView showGridLines="0" zoomScaleNormal="100" workbookViewId="0">
      <selection activeCell="D7" sqref="D7"/>
    </sheetView>
  </sheetViews>
  <sheetFormatPr defaultColWidth="0" defaultRowHeight="12.75" zeroHeight="1" x14ac:dyDescent="0.2"/>
  <cols>
    <col min="1" max="1" width="36.7109375" customWidth="1"/>
    <col min="2" max="21" width="12.5703125" style="16" customWidth="1"/>
    <col min="22" max="22" width="3.5703125" customWidth="1"/>
    <col min="23" max="255" width="9" hidden="1" customWidth="1"/>
    <col min="256" max="256" width="3.5703125" hidden="1" customWidth="1"/>
    <col min="257" max="16384" width="9" hidden="1"/>
  </cols>
  <sheetData>
    <row r="1" spans="1:22" ht="18" customHeight="1" x14ac:dyDescent="0.2">
      <c r="A1" s="85" t="str">
        <f>"Globaal liquiditeitsvoordeel BV 20 jaar - " &amp; versie</f>
        <v>Globaal liquiditeitsvoordeel BV 20 jaar - v20260304</v>
      </c>
      <c r="B1" s="87"/>
      <c r="C1" s="87"/>
      <c r="D1" s="87"/>
      <c r="E1" s="87"/>
      <c r="F1" s="87"/>
      <c r="G1" s="87"/>
      <c r="H1" s="87"/>
      <c r="I1" s="87"/>
      <c r="J1" s="87"/>
      <c r="K1" s="87"/>
      <c r="L1" s="87"/>
      <c r="M1" s="87"/>
      <c r="N1" s="87"/>
      <c r="O1" s="87"/>
      <c r="P1" s="87"/>
      <c r="Q1" s="87"/>
      <c r="R1" s="87"/>
      <c r="S1" s="87"/>
      <c r="T1" s="87"/>
      <c r="U1" s="87"/>
      <c r="V1" s="87"/>
    </row>
    <row r="2" spans="1:22" ht="12" customHeight="1" x14ac:dyDescent="0.2"/>
    <row r="3" spans="1:22" ht="12" customHeight="1" x14ac:dyDescent="0.2">
      <c r="A3" s="7" t="s">
        <v>272</v>
      </c>
      <c r="B3" s="7"/>
      <c r="C3" s="7"/>
      <c r="D3" s="7"/>
      <c r="E3" s="7"/>
      <c r="F3" s="7"/>
      <c r="G3" s="7"/>
      <c r="H3" s="7"/>
      <c r="I3" s="7"/>
      <c r="J3" s="7"/>
      <c r="K3" s="7"/>
      <c r="L3" s="7"/>
      <c r="M3" s="7"/>
      <c r="N3" s="7"/>
      <c r="O3" s="7"/>
      <c r="P3" s="7"/>
      <c r="Q3" s="7"/>
      <c r="R3" s="7"/>
      <c r="S3" s="7"/>
      <c r="T3" s="7"/>
      <c r="U3" s="7"/>
    </row>
    <row r="4" spans="1:22" ht="12" customHeight="1" x14ac:dyDescent="0.2">
      <c r="A4" s="7" t="s">
        <v>283</v>
      </c>
      <c r="B4" s="7"/>
      <c r="C4" s="7"/>
      <c r="D4" s="7"/>
      <c r="E4" s="7"/>
      <c r="F4" s="7"/>
      <c r="G4" s="7"/>
      <c r="H4" s="7"/>
      <c r="I4" s="7"/>
      <c r="J4" s="7"/>
      <c r="K4" s="7"/>
      <c r="L4" s="7"/>
      <c r="M4" s="7"/>
      <c r="N4" s="7"/>
      <c r="O4" s="7"/>
      <c r="P4" s="7"/>
      <c r="Q4" s="7"/>
      <c r="R4" s="7"/>
      <c r="S4" s="7"/>
      <c r="T4" s="7"/>
      <c r="U4" s="7"/>
    </row>
    <row r="5" spans="1:22" ht="12" customHeight="1" x14ac:dyDescent="0.2">
      <c r="A5" s="7" t="s">
        <v>317</v>
      </c>
      <c r="B5" s="7"/>
      <c r="C5" s="7"/>
      <c r="D5" s="7"/>
      <c r="E5" s="7"/>
      <c r="F5" s="7"/>
      <c r="G5" s="7"/>
      <c r="H5" s="7"/>
      <c r="I5" s="7"/>
      <c r="J5" s="7"/>
      <c r="K5" s="7"/>
      <c r="L5" s="7"/>
      <c r="M5" s="7"/>
      <c r="N5" s="7"/>
      <c r="O5" s="7"/>
      <c r="P5" s="7"/>
      <c r="Q5" s="7"/>
      <c r="R5" s="7"/>
      <c r="S5" s="7"/>
      <c r="T5" s="7"/>
      <c r="U5" s="7"/>
    </row>
    <row r="6" spans="1:22" ht="12" customHeight="1" x14ac:dyDescent="0.2">
      <c r="E6" s="36"/>
      <c r="F6" s="36"/>
      <c r="G6" s="36"/>
      <c r="H6" s="36"/>
      <c r="I6" s="36"/>
      <c r="J6" s="36"/>
      <c r="K6" s="36"/>
      <c r="L6" s="36"/>
      <c r="M6" s="36"/>
      <c r="N6" s="36"/>
      <c r="O6" s="36"/>
      <c r="P6" s="36"/>
      <c r="Q6" s="36"/>
      <c r="R6" s="36"/>
      <c r="S6" s="36"/>
      <c r="T6" s="36"/>
      <c r="U6" s="36"/>
    </row>
    <row r="7" spans="1:22" ht="12" customHeight="1" x14ac:dyDescent="0.2">
      <c r="A7" s="7" t="s">
        <v>313</v>
      </c>
      <c r="B7" s="7"/>
      <c r="D7" s="17">
        <v>0</v>
      </c>
      <c r="E7" s="36"/>
      <c r="G7" s="36"/>
      <c r="H7" s="36"/>
      <c r="I7" s="36"/>
      <c r="J7" s="36"/>
      <c r="K7" s="36"/>
      <c r="L7" s="36"/>
      <c r="M7" s="36"/>
      <c r="N7" s="36"/>
      <c r="O7" s="36"/>
      <c r="P7" s="36"/>
      <c r="Q7" s="36"/>
      <c r="R7" s="36"/>
      <c r="S7" s="36"/>
      <c r="T7" s="36"/>
      <c r="U7" s="36"/>
    </row>
    <row r="8" spans="1:22" ht="12" customHeight="1" x14ac:dyDescent="0.2">
      <c r="A8" s="7" t="s">
        <v>314</v>
      </c>
      <c r="B8"/>
      <c r="D8" s="18">
        <v>0.03</v>
      </c>
      <c r="E8" s="36"/>
      <c r="G8" s="36"/>
      <c r="H8" s="36"/>
      <c r="I8" s="36"/>
      <c r="J8" s="36"/>
      <c r="K8" s="36"/>
      <c r="L8" s="36"/>
      <c r="M8" s="36"/>
      <c r="N8" s="36"/>
      <c r="O8" s="36"/>
      <c r="P8" s="36"/>
      <c r="Q8" s="36"/>
      <c r="R8" s="36"/>
      <c r="S8" s="36"/>
      <c r="T8" s="36"/>
      <c r="U8" s="36"/>
    </row>
    <row r="9" spans="1:22" ht="12" customHeight="1" x14ac:dyDescent="0.2">
      <c r="A9" s="7" t="s">
        <v>265</v>
      </c>
      <c r="B9"/>
      <c r="D9" s="56">
        <f>PMT(D8,88-leeftijd,-Ruisend!B38)</f>
        <v>0</v>
      </c>
      <c r="E9" s="36"/>
      <c r="G9" s="36"/>
      <c r="H9" s="36"/>
      <c r="I9" s="36"/>
      <c r="J9" s="36"/>
      <c r="K9" s="36"/>
      <c r="L9" s="36"/>
      <c r="M9" s="36"/>
      <c r="N9" s="36"/>
      <c r="O9" s="36"/>
      <c r="P9" s="36"/>
      <c r="Q9" s="36"/>
      <c r="R9" s="36"/>
      <c r="S9" s="36"/>
      <c r="T9" s="36"/>
      <c r="U9" s="36"/>
    </row>
    <row r="10" spans="1:22" ht="12" customHeight="1" x14ac:dyDescent="0.2">
      <c r="A10" s="7" t="s">
        <v>22</v>
      </c>
      <c r="B10"/>
      <c r="D10" s="18">
        <v>0.495</v>
      </c>
      <c r="E10" s="36"/>
      <c r="F10" s="36"/>
      <c r="G10" s="36"/>
      <c r="H10" s="36"/>
      <c r="I10" s="36"/>
      <c r="J10" s="36"/>
      <c r="K10" s="36"/>
      <c r="L10" s="36"/>
      <c r="M10" s="36"/>
      <c r="N10" s="36"/>
      <c r="O10" s="36"/>
      <c r="P10" s="36"/>
      <c r="Q10" s="36"/>
      <c r="R10" s="36"/>
      <c r="S10" s="36"/>
      <c r="T10" s="36"/>
      <c r="U10" s="36"/>
    </row>
    <row r="11" spans="1:22" ht="12" customHeight="1" x14ac:dyDescent="0.2">
      <c r="A11" s="7" t="s">
        <v>263</v>
      </c>
      <c r="D11" s="18">
        <f>'BV ja, BV nee'!B13</f>
        <v>1.7999999999999999E-2</v>
      </c>
      <c r="E11" s="36"/>
      <c r="F11" s="36"/>
      <c r="G11" s="36"/>
      <c r="H11" s="36"/>
      <c r="I11" s="36"/>
      <c r="J11" s="36"/>
      <c r="K11" s="36"/>
      <c r="L11" s="36"/>
      <c r="M11" s="36"/>
      <c r="N11" s="36"/>
      <c r="O11" s="36"/>
      <c r="P11" s="36"/>
      <c r="Q11" s="36"/>
      <c r="R11" s="36"/>
      <c r="S11" s="36"/>
      <c r="T11" s="36"/>
      <c r="U11" s="36"/>
    </row>
    <row r="12" spans="1:22" ht="12" customHeight="1" x14ac:dyDescent="0.2">
      <c r="A12" s="7" t="s">
        <v>264</v>
      </c>
      <c r="D12" s="18">
        <v>0.19</v>
      </c>
      <c r="E12" s="36"/>
      <c r="F12" s="36"/>
      <c r="G12" s="36"/>
      <c r="H12" s="36"/>
      <c r="I12" s="36"/>
      <c r="J12" s="36"/>
      <c r="K12" s="36"/>
      <c r="L12" s="36"/>
      <c r="M12" s="36"/>
      <c r="N12" s="36"/>
      <c r="O12" s="36"/>
      <c r="P12" s="36"/>
      <c r="Q12" s="36"/>
      <c r="R12" s="36"/>
      <c r="S12" s="36"/>
      <c r="T12" s="36"/>
      <c r="U12" s="36"/>
    </row>
    <row r="13" spans="1:22" ht="12" customHeight="1" x14ac:dyDescent="0.2">
      <c r="A13" s="7" t="s">
        <v>159</v>
      </c>
      <c r="D13" s="19">
        <v>0</v>
      </c>
      <c r="E13" s="36"/>
      <c r="F13" s="36"/>
      <c r="G13" s="36"/>
      <c r="H13" s="36"/>
      <c r="I13" s="36"/>
      <c r="J13" s="36"/>
      <c r="K13" s="36"/>
      <c r="L13" s="36"/>
      <c r="M13" s="36"/>
      <c r="N13" s="36"/>
      <c r="O13" s="36"/>
      <c r="P13" s="36"/>
      <c r="Q13" s="36"/>
      <c r="R13" s="36"/>
      <c r="S13" s="36"/>
      <c r="T13" s="36"/>
      <c r="U13" s="36"/>
    </row>
    <row r="14" spans="1:22" ht="12" customHeight="1" x14ac:dyDescent="0.2">
      <c r="A14" s="7" t="s">
        <v>160</v>
      </c>
      <c r="D14" s="17">
        <v>0</v>
      </c>
      <c r="E14" s="36"/>
      <c r="F14" s="36"/>
      <c r="G14" s="36"/>
      <c r="H14" s="36"/>
      <c r="I14" s="36"/>
      <c r="J14" s="36"/>
      <c r="K14" s="36"/>
      <c r="L14" s="36"/>
      <c r="M14" s="36"/>
      <c r="N14" s="36"/>
      <c r="O14" s="36"/>
      <c r="P14" s="36"/>
      <c r="Q14" s="36"/>
      <c r="R14" s="36"/>
      <c r="S14" s="36"/>
      <c r="T14" s="36"/>
      <c r="U14" s="36"/>
    </row>
    <row r="15" spans="1:22" ht="12" customHeight="1" x14ac:dyDescent="0.2">
      <c r="A15" s="7" t="s">
        <v>161</v>
      </c>
      <c r="D15" s="18">
        <v>0.4</v>
      </c>
      <c r="E15" s="36"/>
      <c r="F15" s="36"/>
      <c r="G15" s="36"/>
      <c r="H15" s="36"/>
      <c r="I15" s="36"/>
      <c r="J15" s="36"/>
      <c r="K15" s="36"/>
      <c r="L15" s="36"/>
      <c r="M15" s="36"/>
      <c r="N15" s="36"/>
      <c r="O15" s="36"/>
      <c r="P15" s="36"/>
      <c r="Q15" s="36"/>
      <c r="R15" s="36"/>
      <c r="S15" s="36"/>
      <c r="T15" s="36"/>
      <c r="U15" s="36"/>
    </row>
    <row r="16" spans="1:22" ht="12" customHeight="1" x14ac:dyDescent="0.2">
      <c r="A16" s="7"/>
      <c r="B16" s="7"/>
      <c r="C16" s="7"/>
      <c r="D16" s="7"/>
      <c r="E16" s="7"/>
      <c r="F16" s="7"/>
      <c r="G16" s="36"/>
      <c r="H16" s="36"/>
      <c r="I16" s="36"/>
      <c r="J16" s="36"/>
      <c r="K16" s="36"/>
      <c r="L16" s="36"/>
      <c r="M16" s="36"/>
      <c r="N16" s="36"/>
      <c r="O16" s="36"/>
      <c r="P16" s="36"/>
      <c r="Q16" s="36"/>
      <c r="R16" s="36"/>
      <c r="S16" s="36"/>
      <c r="T16" s="36"/>
      <c r="U16" s="36"/>
    </row>
    <row r="17" spans="1:21" ht="12" customHeight="1" x14ac:dyDescent="0.2">
      <c r="A17" s="7"/>
      <c r="B17" s="36"/>
      <c r="C17" s="36"/>
      <c r="D17" s="36"/>
      <c r="E17" s="36"/>
      <c r="F17" s="36"/>
      <c r="G17" s="36"/>
      <c r="H17" s="36"/>
      <c r="I17" s="36"/>
      <c r="J17" s="36"/>
      <c r="K17" s="36"/>
      <c r="L17" s="36"/>
      <c r="M17" s="36"/>
      <c r="N17" s="36"/>
      <c r="O17" s="36"/>
      <c r="P17" s="36"/>
      <c r="Q17" s="36"/>
      <c r="R17" s="36"/>
      <c r="S17" s="36"/>
      <c r="T17" s="36"/>
      <c r="U17" s="36"/>
    </row>
    <row r="18" spans="1:21" ht="12" customHeight="1" x14ac:dyDescent="0.2">
      <c r="A18" s="57" t="s">
        <v>105</v>
      </c>
      <c r="B18" s="58">
        <f>'BV ja, BV nee'!B4</f>
        <v>2026</v>
      </c>
      <c r="C18" s="58">
        <f>+B18+1</f>
        <v>2027</v>
      </c>
      <c r="D18" s="58">
        <f t="shared" ref="D18:U18" si="0">+C18+1</f>
        <v>2028</v>
      </c>
      <c r="E18" s="58">
        <f t="shared" si="0"/>
        <v>2029</v>
      </c>
      <c r="F18" s="58">
        <f t="shared" si="0"/>
        <v>2030</v>
      </c>
      <c r="G18" s="58">
        <f t="shared" si="0"/>
        <v>2031</v>
      </c>
      <c r="H18" s="58">
        <f t="shared" si="0"/>
        <v>2032</v>
      </c>
      <c r="I18" s="58">
        <f t="shared" si="0"/>
        <v>2033</v>
      </c>
      <c r="J18" s="58">
        <f t="shared" si="0"/>
        <v>2034</v>
      </c>
      <c r="K18" s="58">
        <f t="shared" si="0"/>
        <v>2035</v>
      </c>
      <c r="L18" s="58">
        <f t="shared" si="0"/>
        <v>2036</v>
      </c>
      <c r="M18" s="58">
        <f t="shared" si="0"/>
        <v>2037</v>
      </c>
      <c r="N18" s="58">
        <f t="shared" si="0"/>
        <v>2038</v>
      </c>
      <c r="O18" s="58">
        <f t="shared" si="0"/>
        <v>2039</v>
      </c>
      <c r="P18" s="58">
        <f t="shared" si="0"/>
        <v>2040</v>
      </c>
      <c r="Q18" s="58">
        <f t="shared" si="0"/>
        <v>2041</v>
      </c>
      <c r="R18" s="58">
        <f t="shared" si="0"/>
        <v>2042</v>
      </c>
      <c r="S18" s="58">
        <f t="shared" si="0"/>
        <v>2043</v>
      </c>
      <c r="T18" s="58">
        <f t="shared" si="0"/>
        <v>2044</v>
      </c>
      <c r="U18" s="58">
        <f t="shared" si="0"/>
        <v>2045</v>
      </c>
    </row>
    <row r="19" spans="1:21" ht="12" customHeight="1" x14ac:dyDescent="0.2">
      <c r="A19" s="51" t="s">
        <v>23</v>
      </c>
      <c r="B19" s="36"/>
      <c r="C19" s="36"/>
      <c r="D19" s="36"/>
      <c r="E19" s="36"/>
      <c r="F19" s="36"/>
      <c r="G19" s="36"/>
      <c r="H19" s="36"/>
      <c r="I19" s="36"/>
      <c r="J19" s="36"/>
      <c r="K19" s="36"/>
      <c r="L19" s="36"/>
      <c r="M19" s="36"/>
      <c r="N19" s="36"/>
      <c r="O19" s="36"/>
      <c r="P19" s="36"/>
      <c r="Q19" s="36"/>
      <c r="R19" s="36"/>
      <c r="S19" s="36"/>
      <c r="T19" s="36"/>
      <c r="U19" s="36"/>
    </row>
    <row r="20" spans="1:21" ht="12" customHeight="1" x14ac:dyDescent="0.2">
      <c r="A20" s="7" t="s">
        <v>8</v>
      </c>
      <c r="B20" s="59">
        <f>'BV ja, BV nee'!B7</f>
        <v>200000</v>
      </c>
      <c r="C20" s="17">
        <f>B20</f>
        <v>200000</v>
      </c>
      <c r="D20" s="17">
        <f t="shared" ref="C20:F21" si="1">C20</f>
        <v>200000</v>
      </c>
      <c r="E20" s="17">
        <f t="shared" si="1"/>
        <v>200000</v>
      </c>
      <c r="F20" s="17">
        <f t="shared" si="1"/>
        <v>200000</v>
      </c>
      <c r="G20" s="17">
        <f t="shared" ref="G20:J21" si="2">F20</f>
        <v>200000</v>
      </c>
      <c r="H20" s="17">
        <f t="shared" si="2"/>
        <v>200000</v>
      </c>
      <c r="I20" s="17">
        <f t="shared" si="2"/>
        <v>200000</v>
      </c>
      <c r="J20" s="17">
        <f t="shared" si="2"/>
        <v>200000</v>
      </c>
      <c r="K20" s="17">
        <f t="shared" ref="K20:U20" si="3">J20</f>
        <v>200000</v>
      </c>
      <c r="L20" s="17">
        <f t="shared" si="3"/>
        <v>200000</v>
      </c>
      <c r="M20" s="17">
        <f t="shared" si="3"/>
        <v>200000</v>
      </c>
      <c r="N20" s="17">
        <f t="shared" si="3"/>
        <v>200000</v>
      </c>
      <c r="O20" s="17">
        <f t="shared" si="3"/>
        <v>200000</v>
      </c>
      <c r="P20" s="17">
        <f t="shared" si="3"/>
        <v>200000</v>
      </c>
      <c r="Q20" s="17">
        <f t="shared" si="3"/>
        <v>200000</v>
      </c>
      <c r="R20" s="17">
        <f t="shared" si="3"/>
        <v>200000</v>
      </c>
      <c r="S20" s="17">
        <f t="shared" si="3"/>
        <v>200000</v>
      </c>
      <c r="T20" s="17">
        <f t="shared" si="3"/>
        <v>200000</v>
      </c>
      <c r="U20" s="17">
        <f t="shared" si="3"/>
        <v>200000</v>
      </c>
    </row>
    <row r="21" spans="1:21" ht="12" customHeight="1" x14ac:dyDescent="0.2">
      <c r="A21" s="7" t="s">
        <v>24</v>
      </c>
      <c r="B21" s="60">
        <f>SUM('BV ja, BV nee'!B21:B30)</f>
        <v>-26447.599999999999</v>
      </c>
      <c r="C21" s="60">
        <f t="shared" si="1"/>
        <v>-26447.599999999999</v>
      </c>
      <c r="D21" s="60">
        <f t="shared" si="1"/>
        <v>-26447.599999999999</v>
      </c>
      <c r="E21" s="60">
        <f t="shared" si="1"/>
        <v>-26447.599999999999</v>
      </c>
      <c r="F21" s="60">
        <f t="shared" si="1"/>
        <v>-26447.599999999999</v>
      </c>
      <c r="G21" s="60">
        <f t="shared" si="2"/>
        <v>-26447.599999999999</v>
      </c>
      <c r="H21" s="60">
        <f t="shared" si="2"/>
        <v>-26447.599999999999</v>
      </c>
      <c r="I21" s="60">
        <f t="shared" si="2"/>
        <v>-26447.599999999999</v>
      </c>
      <c r="J21" s="60">
        <f t="shared" si="2"/>
        <v>-26447.599999999999</v>
      </c>
      <c r="K21" s="60">
        <f t="shared" ref="K21:U21" si="4">J21</f>
        <v>-26447.599999999999</v>
      </c>
      <c r="L21" s="60">
        <f t="shared" si="4"/>
        <v>-26447.599999999999</v>
      </c>
      <c r="M21" s="60">
        <f t="shared" si="4"/>
        <v>-26447.599999999999</v>
      </c>
      <c r="N21" s="60">
        <f t="shared" si="4"/>
        <v>-26447.599999999999</v>
      </c>
      <c r="O21" s="60">
        <f t="shared" si="4"/>
        <v>-26447.599999999999</v>
      </c>
      <c r="P21" s="60">
        <f t="shared" si="4"/>
        <v>-26447.599999999999</v>
      </c>
      <c r="Q21" s="60">
        <f t="shared" si="4"/>
        <v>-26447.599999999999</v>
      </c>
      <c r="R21" s="60">
        <f t="shared" si="4"/>
        <v>-26447.599999999999</v>
      </c>
      <c r="S21" s="60">
        <f t="shared" si="4"/>
        <v>-26447.599999999999</v>
      </c>
      <c r="T21" s="60">
        <f t="shared" si="4"/>
        <v>-26447.599999999999</v>
      </c>
      <c r="U21" s="60">
        <f t="shared" si="4"/>
        <v>-26447.599999999999</v>
      </c>
    </row>
    <row r="22" spans="1:21" ht="12" customHeight="1" x14ac:dyDescent="0.2">
      <c r="A22" s="7" t="s">
        <v>25</v>
      </c>
      <c r="B22" s="59">
        <f t="shared" ref="B22:J22" si="5">SUM(B20:B21)</f>
        <v>173552.4</v>
      </c>
      <c r="C22" s="59">
        <f t="shared" si="5"/>
        <v>173552.4</v>
      </c>
      <c r="D22" s="59">
        <f t="shared" si="5"/>
        <v>173552.4</v>
      </c>
      <c r="E22" s="59">
        <f t="shared" si="5"/>
        <v>173552.4</v>
      </c>
      <c r="F22" s="59">
        <f t="shared" si="5"/>
        <v>173552.4</v>
      </c>
      <c r="G22" s="59">
        <f t="shared" si="5"/>
        <v>173552.4</v>
      </c>
      <c r="H22" s="59">
        <f t="shared" si="5"/>
        <v>173552.4</v>
      </c>
      <c r="I22" s="59">
        <f t="shared" si="5"/>
        <v>173552.4</v>
      </c>
      <c r="J22" s="59">
        <f t="shared" si="5"/>
        <v>173552.4</v>
      </c>
      <c r="K22" s="59">
        <f t="shared" ref="K22:U22" si="6">SUM(K20:K21)</f>
        <v>173552.4</v>
      </c>
      <c r="L22" s="59">
        <f t="shared" si="6"/>
        <v>173552.4</v>
      </c>
      <c r="M22" s="59">
        <f t="shared" si="6"/>
        <v>173552.4</v>
      </c>
      <c r="N22" s="59">
        <f t="shared" si="6"/>
        <v>173552.4</v>
      </c>
      <c r="O22" s="59">
        <f t="shared" si="6"/>
        <v>173552.4</v>
      </c>
      <c r="P22" s="59">
        <f t="shared" si="6"/>
        <v>173552.4</v>
      </c>
      <c r="Q22" s="59">
        <f t="shared" si="6"/>
        <v>173552.4</v>
      </c>
      <c r="R22" s="59">
        <f t="shared" si="6"/>
        <v>173552.4</v>
      </c>
      <c r="S22" s="59">
        <f t="shared" si="6"/>
        <v>173552.4</v>
      </c>
      <c r="T22" s="59">
        <f t="shared" si="6"/>
        <v>173552.4</v>
      </c>
      <c r="U22" s="59">
        <f t="shared" si="6"/>
        <v>173552.4</v>
      </c>
    </row>
    <row r="23" spans="1:21" ht="12" customHeight="1" x14ac:dyDescent="0.2">
      <c r="A23" s="7" t="s">
        <v>259</v>
      </c>
      <c r="B23" s="59">
        <f>IF(B22&lt;1,0,VLOOKUP(B22,Tabellen!$A$9:$D$11,3)+VLOOKUP(B22,Tabellen!$A$9:$D$11,4)*(B22-VLOOKUP(B22,Tabellen!$A$9:$D$11,1))+'BV ja, BV nee'!$B$33-'BV ja, BV nee'!$B$36-'BV ja, BV nee'!$B$37)+'BV ja, BV nee'!$B$38</f>
        <v>82848.411439999996</v>
      </c>
      <c r="C23" s="59">
        <f>IF(C22&lt;1,0,VLOOKUP(C22,Tabellen!$A$9:$D$11,3)+VLOOKUP(C22,Tabellen!$A$9:$D$11,4)*(C22-VLOOKUP(C22,Tabellen!$A$9:$D$11,1))+'BV ja, BV nee'!$B$33-'BV ja, BV nee'!$B$36-'BV ja, BV nee'!$B$37)+'BV ja, BV nee'!$B$38</f>
        <v>82848.411439999996</v>
      </c>
      <c r="D23" s="59">
        <f>IF(D22&lt;1,0,VLOOKUP(D22,Tabellen!$A$9:$D$11,3)+VLOOKUP(D22,Tabellen!$A$9:$D$11,4)*(D22-VLOOKUP(D22,Tabellen!$A$9:$D$11,1))+'BV ja, BV nee'!$B$33-'BV ja, BV nee'!$B$36-'BV ja, BV nee'!$B$37)+'BV ja, BV nee'!$B$38</f>
        <v>82848.411439999996</v>
      </c>
      <c r="E23" s="59">
        <f>IF(E22&lt;1,0,VLOOKUP(E22,Tabellen!$A$9:$D$11,3)+VLOOKUP(E22,Tabellen!$A$9:$D$11,4)*(E22-VLOOKUP(E22,Tabellen!$A$9:$D$11,1))+'BV ja, BV nee'!$B$33-'BV ja, BV nee'!$B$36-'BV ja, BV nee'!$B$37)+'BV ja, BV nee'!$B$38</f>
        <v>82848.411439999996</v>
      </c>
      <c r="F23" s="59">
        <f>IF(F22&lt;1,0,VLOOKUP(F22,Tabellen!$A$9:$D$11,3)+VLOOKUP(F22,Tabellen!$A$9:$D$11,4)*(F22-VLOOKUP(F22,Tabellen!$A$9:$D$11,1))+'BV ja, BV nee'!$B$33-'BV ja, BV nee'!$B$36-'BV ja, BV nee'!$B$37)+'BV ja, BV nee'!$B$38</f>
        <v>82848.411439999996</v>
      </c>
      <c r="G23" s="59">
        <f>IF(G22&lt;1,0,VLOOKUP(G22,Tabellen!$A$9:$D$11,3)+VLOOKUP(G22,Tabellen!$A$9:$D$11,4)*(G22-VLOOKUP(G22,Tabellen!$A$9:$D$11,1))+'BV ja, BV nee'!$B$33-'BV ja, BV nee'!$B$36-'BV ja, BV nee'!$B$37)+'BV ja, BV nee'!$B$38</f>
        <v>82848.411439999996</v>
      </c>
      <c r="H23" s="59">
        <f>IF(H22&lt;1,0,VLOOKUP(H22,Tabellen!$A$9:$D$11,3)+VLOOKUP(H22,Tabellen!$A$9:$D$11,4)*(H22-VLOOKUP(H22,Tabellen!$A$9:$D$11,1))+'BV ja, BV nee'!$B$33-'BV ja, BV nee'!$B$36-'BV ja, BV nee'!$B$37)+'BV ja, BV nee'!$B$38</f>
        <v>82848.411439999996</v>
      </c>
      <c r="I23" s="59">
        <f>IF(I22&lt;1,0,VLOOKUP(I22,Tabellen!$A$9:$D$11,3)+VLOOKUP(I22,Tabellen!$A$9:$D$11,4)*(I22-VLOOKUP(I22,Tabellen!$A$9:$D$11,1))+'BV ja, BV nee'!$B$33-'BV ja, BV nee'!$B$36-'BV ja, BV nee'!$B$37)+'BV ja, BV nee'!$B$38</f>
        <v>82848.411439999996</v>
      </c>
      <c r="J23" s="59">
        <f>IF(J22&lt;1,0,VLOOKUP(J22,Tabellen!$A$9:$D$11,3)+VLOOKUP(J22,Tabellen!$A$9:$D$11,4)*(J22-VLOOKUP(J22,Tabellen!$A$9:$D$11,1))+'BV ja, BV nee'!$B$33-'BV ja, BV nee'!$B$36-'BV ja, BV nee'!$B$37)+'BV ja, BV nee'!$B$38</f>
        <v>82848.411439999996</v>
      </c>
      <c r="K23" s="59">
        <f>IF(K22&lt;1,0,VLOOKUP(K22,Tabellen!$A$9:$D$11,3)+VLOOKUP(K22,Tabellen!$A$9:$D$11,4)*(K22-VLOOKUP(K22,Tabellen!$A$9:$D$11,1))+'BV ja, BV nee'!$B$33-'BV ja, BV nee'!$B$36-'BV ja, BV nee'!$B$37)+'BV ja, BV nee'!$B$38</f>
        <v>82848.411439999996</v>
      </c>
      <c r="L23" s="59">
        <f>IF(L22&lt;1,0,VLOOKUP(L22,Tabellen!$A$9:$D$11,3)+VLOOKUP(L22,Tabellen!$A$9:$D$11,4)*(L22-VLOOKUP(L22,Tabellen!$A$9:$D$11,1))+'BV ja, BV nee'!$B$33-'BV ja, BV nee'!$B$36-'BV ja, BV nee'!$B$37)+'BV ja, BV nee'!$B$38</f>
        <v>82848.411439999996</v>
      </c>
      <c r="M23" s="59">
        <f>IF(M22&lt;1,0,VLOOKUP(M22,Tabellen!$A$9:$D$11,3)+VLOOKUP(M22,Tabellen!$A$9:$D$11,4)*(M22-VLOOKUP(M22,Tabellen!$A$9:$D$11,1))+'BV ja, BV nee'!$B$33-'BV ja, BV nee'!$B$36-'BV ja, BV nee'!$B$37)+'BV ja, BV nee'!$B$38</f>
        <v>82848.411439999996</v>
      </c>
      <c r="N23" s="59">
        <f>IF(N22&lt;1,0,VLOOKUP(N22,Tabellen!$A$9:$D$11,3)+VLOOKUP(N22,Tabellen!$A$9:$D$11,4)*(N22-VLOOKUP(N22,Tabellen!$A$9:$D$11,1))+'BV ja, BV nee'!$B$33-'BV ja, BV nee'!$B$36-'BV ja, BV nee'!$B$37)+'BV ja, BV nee'!$B$38</f>
        <v>82848.411439999996</v>
      </c>
      <c r="O23" s="59">
        <f>IF(O22&lt;1,0,VLOOKUP(O22,Tabellen!$A$9:$D$11,3)+VLOOKUP(O22,Tabellen!$A$9:$D$11,4)*(O22-VLOOKUP(O22,Tabellen!$A$9:$D$11,1))+'BV ja, BV nee'!$B$33-'BV ja, BV nee'!$B$36-'BV ja, BV nee'!$B$37)+'BV ja, BV nee'!$B$38</f>
        <v>82848.411439999996</v>
      </c>
      <c r="P23" s="59">
        <f>IF(P22&lt;1,0,VLOOKUP(P22,Tabellen!$A$9:$D$11,3)+VLOOKUP(P22,Tabellen!$A$9:$D$11,4)*(P22-VLOOKUP(P22,Tabellen!$A$9:$D$11,1))+'BV ja, BV nee'!$B$33-'BV ja, BV nee'!$B$36-'BV ja, BV nee'!$B$37)+'BV ja, BV nee'!$B$38</f>
        <v>82848.411439999996</v>
      </c>
      <c r="Q23" s="59">
        <f>IF(Q22&lt;1,0,VLOOKUP(Q22,Tabellen!$A$9:$D$11,3)+VLOOKUP(Q22,Tabellen!$A$9:$D$11,4)*(Q22-VLOOKUP(Q22,Tabellen!$A$9:$D$11,1))+'BV ja, BV nee'!$B$33-'BV ja, BV nee'!$B$36-'BV ja, BV nee'!$B$37)+'BV ja, BV nee'!$B$38</f>
        <v>82848.411439999996</v>
      </c>
      <c r="R23" s="59">
        <f>IF(R22&lt;1,0,VLOOKUP(R22,Tabellen!$A$9:$D$11,3)+VLOOKUP(R22,Tabellen!$A$9:$D$11,4)*(R22-VLOOKUP(R22,Tabellen!$A$9:$D$11,1))+'BV ja, BV nee'!$B$33-'BV ja, BV nee'!$B$36-'BV ja, BV nee'!$B$37)+'BV ja, BV nee'!$B$38</f>
        <v>82848.411439999996</v>
      </c>
      <c r="S23" s="59">
        <f>IF(S22&lt;1,0,VLOOKUP(S22,Tabellen!$A$9:$D$11,3)+VLOOKUP(S22,Tabellen!$A$9:$D$11,4)*(S22-VLOOKUP(S22,Tabellen!$A$9:$D$11,1))+'BV ja, BV nee'!$B$33-'BV ja, BV nee'!$B$36-'BV ja, BV nee'!$B$37)+'BV ja, BV nee'!$B$38</f>
        <v>82848.411439999996</v>
      </c>
      <c r="T23" s="59">
        <f>IF(T22&lt;1,0,VLOOKUP(T22,Tabellen!$A$9:$D$11,3)+VLOOKUP(T22,Tabellen!$A$9:$D$11,4)*(T22-VLOOKUP(T22,Tabellen!$A$9:$D$11,1))+'BV ja, BV nee'!$B$33-'BV ja, BV nee'!$B$36-'BV ja, BV nee'!$B$37)+'BV ja, BV nee'!$B$38</f>
        <v>82848.411439999996</v>
      </c>
      <c r="U23" s="59">
        <f>IF(U22&lt;1,0,VLOOKUP(U22,Tabellen!$A$9:$D$11,3)+VLOOKUP(U22,Tabellen!$A$9:$D$11,4)*(U22-VLOOKUP(U22,Tabellen!$A$9:$D$11,1))+'BV ja, BV nee'!$B$33-'BV ja, BV nee'!$B$36-'BV ja, BV nee'!$B$37)+'BV ja, BV nee'!$B$38</f>
        <v>82848.411439999996</v>
      </c>
    </row>
    <row r="24" spans="1:21" ht="12" customHeight="1" x14ac:dyDescent="0.2">
      <c r="A24" s="7"/>
      <c r="B24" s="36"/>
      <c r="C24" s="36"/>
      <c r="D24" s="36"/>
      <c r="E24" s="36"/>
      <c r="F24" s="36"/>
      <c r="G24" s="36"/>
      <c r="H24" s="36"/>
      <c r="I24" s="36"/>
      <c r="J24" s="36"/>
      <c r="K24" s="36"/>
      <c r="L24" s="36"/>
      <c r="M24" s="36"/>
      <c r="N24" s="36"/>
      <c r="O24" s="36"/>
      <c r="P24" s="36"/>
      <c r="Q24" s="36"/>
      <c r="R24" s="36"/>
      <c r="S24" s="36"/>
      <c r="T24" s="36"/>
      <c r="U24" s="36"/>
    </row>
    <row r="25" spans="1:21" ht="12" customHeight="1" x14ac:dyDescent="0.2">
      <c r="A25" s="7"/>
      <c r="B25" s="36"/>
      <c r="C25" s="36"/>
      <c r="D25" s="36"/>
      <c r="E25" s="36"/>
      <c r="F25" s="36"/>
      <c r="G25" s="36"/>
      <c r="H25" s="36"/>
      <c r="I25" s="36"/>
      <c r="J25" s="36"/>
      <c r="K25" s="36"/>
      <c r="L25" s="36"/>
      <c r="M25" s="36"/>
      <c r="N25" s="36"/>
      <c r="O25" s="36"/>
      <c r="P25" s="36"/>
      <c r="Q25" s="36"/>
      <c r="R25" s="36"/>
      <c r="S25" s="36"/>
      <c r="T25" s="36"/>
      <c r="U25" s="36"/>
    </row>
    <row r="26" spans="1:21" ht="12" customHeight="1" x14ac:dyDescent="0.2">
      <c r="A26" s="51" t="s">
        <v>260</v>
      </c>
      <c r="B26" s="36"/>
      <c r="C26" s="36"/>
      <c r="D26" s="36"/>
      <c r="E26" s="36"/>
      <c r="F26" s="36"/>
      <c r="G26" s="36"/>
      <c r="H26" s="36"/>
      <c r="I26" s="36"/>
      <c r="J26" s="36"/>
      <c r="K26" s="36"/>
      <c r="L26" s="36"/>
      <c r="M26" s="36"/>
      <c r="N26" s="36"/>
      <c r="O26" s="36"/>
      <c r="P26" s="36"/>
      <c r="Q26" s="36"/>
      <c r="R26" s="36"/>
      <c r="S26" s="36"/>
      <c r="T26" s="36"/>
      <c r="U26" s="36"/>
    </row>
    <row r="27" spans="1:21" ht="12" customHeight="1" x14ac:dyDescent="0.2">
      <c r="A27" s="7" t="s">
        <v>315</v>
      </c>
      <c r="B27" s="59">
        <f>D7*(1+D8)-D9</f>
        <v>0</v>
      </c>
      <c r="C27" s="59">
        <f t="shared" ref="C27:U27" si="7">B27*(1+$D$8)-$D$9-IF(C18&gt;=$D$13,$D$14,0)</f>
        <v>0</v>
      </c>
      <c r="D27" s="59">
        <f t="shared" si="7"/>
        <v>0</v>
      </c>
      <c r="E27" s="59">
        <f t="shared" si="7"/>
        <v>0</v>
      </c>
      <c r="F27" s="59">
        <f t="shared" si="7"/>
        <v>0</v>
      </c>
      <c r="G27" s="59">
        <f t="shared" si="7"/>
        <v>0</v>
      </c>
      <c r="H27" s="59">
        <f t="shared" si="7"/>
        <v>0</v>
      </c>
      <c r="I27" s="59">
        <f t="shared" si="7"/>
        <v>0</v>
      </c>
      <c r="J27" s="59">
        <f t="shared" si="7"/>
        <v>0</v>
      </c>
      <c r="K27" s="59">
        <f t="shared" si="7"/>
        <v>0</v>
      </c>
      <c r="L27" s="59">
        <f t="shared" si="7"/>
        <v>0</v>
      </c>
      <c r="M27" s="59">
        <f t="shared" si="7"/>
        <v>0</v>
      </c>
      <c r="N27" s="59">
        <f t="shared" si="7"/>
        <v>0</v>
      </c>
      <c r="O27" s="59">
        <f t="shared" si="7"/>
        <v>0</v>
      </c>
      <c r="P27" s="59">
        <f t="shared" si="7"/>
        <v>0</v>
      </c>
      <c r="Q27" s="59">
        <f t="shared" si="7"/>
        <v>0</v>
      </c>
      <c r="R27" s="59">
        <f t="shared" si="7"/>
        <v>0</v>
      </c>
      <c r="S27" s="59">
        <f t="shared" si="7"/>
        <v>0</v>
      </c>
      <c r="T27" s="59">
        <f t="shared" si="7"/>
        <v>0</v>
      </c>
      <c r="U27" s="59">
        <f t="shared" si="7"/>
        <v>0</v>
      </c>
    </row>
    <row r="28" spans="1:21" ht="12" customHeight="1" x14ac:dyDescent="0.2">
      <c r="A28" s="7" t="s">
        <v>261</v>
      </c>
      <c r="B28" s="59">
        <f>'BV ja, BV nee'!E32-'BV ja, BV nee'!E36-'BV ja, BV nee'!E37+'BV ja, BV nee'!E33+'BV ja, BV nee'!E38</f>
        <v>53389.090799999998</v>
      </c>
      <c r="C28" s="59">
        <f t="shared" ref="C28:J28" si="8">B28</f>
        <v>53389.090799999998</v>
      </c>
      <c r="D28" s="59">
        <f t="shared" si="8"/>
        <v>53389.090799999998</v>
      </c>
      <c r="E28" s="59">
        <f t="shared" si="8"/>
        <v>53389.090799999998</v>
      </c>
      <c r="F28" s="59">
        <f t="shared" si="8"/>
        <v>53389.090799999998</v>
      </c>
      <c r="G28" s="59">
        <f t="shared" si="8"/>
        <v>53389.090799999998</v>
      </c>
      <c r="H28" s="59">
        <f t="shared" si="8"/>
        <v>53389.090799999998</v>
      </c>
      <c r="I28" s="59">
        <f t="shared" si="8"/>
        <v>53389.090799999998</v>
      </c>
      <c r="J28" s="59">
        <f t="shared" si="8"/>
        <v>53389.090799999998</v>
      </c>
      <c r="K28" s="59">
        <f t="shared" ref="K28:U28" si="9">J28</f>
        <v>53389.090799999998</v>
      </c>
      <c r="L28" s="59">
        <f t="shared" si="9"/>
        <v>53389.090799999998</v>
      </c>
      <c r="M28" s="59">
        <f t="shared" si="9"/>
        <v>53389.090799999998</v>
      </c>
      <c r="N28" s="59">
        <f t="shared" si="9"/>
        <v>53389.090799999998</v>
      </c>
      <c r="O28" s="59">
        <f t="shared" si="9"/>
        <v>53389.090799999998</v>
      </c>
      <c r="P28" s="59">
        <f t="shared" si="9"/>
        <v>53389.090799999998</v>
      </c>
      <c r="Q28" s="59">
        <f t="shared" si="9"/>
        <v>53389.090799999998</v>
      </c>
      <c r="R28" s="59">
        <f t="shared" si="9"/>
        <v>53389.090799999998</v>
      </c>
      <c r="S28" s="59">
        <f t="shared" si="9"/>
        <v>53389.090799999998</v>
      </c>
      <c r="T28" s="59">
        <f t="shared" si="9"/>
        <v>53389.090799999998</v>
      </c>
      <c r="U28" s="59">
        <f t="shared" si="9"/>
        <v>53389.090799999998</v>
      </c>
    </row>
    <row r="29" spans="1:21" ht="12" customHeight="1" x14ac:dyDescent="0.2">
      <c r="A29" s="7" t="s">
        <v>104</v>
      </c>
      <c r="B29" s="59">
        <f t="shared" ref="B29:U29" si="10">$D$10*$D$9+IF(B18&gt;=$D$13,$D$14*$D$15,0)</f>
        <v>0</v>
      </c>
      <c r="C29" s="59">
        <f t="shared" si="10"/>
        <v>0</v>
      </c>
      <c r="D29" s="59">
        <f t="shared" si="10"/>
        <v>0</v>
      </c>
      <c r="E29" s="59">
        <f t="shared" si="10"/>
        <v>0</v>
      </c>
      <c r="F29" s="59">
        <f t="shared" si="10"/>
        <v>0</v>
      </c>
      <c r="G29" s="59">
        <f t="shared" si="10"/>
        <v>0</v>
      </c>
      <c r="H29" s="59">
        <f t="shared" si="10"/>
        <v>0</v>
      </c>
      <c r="I29" s="59">
        <f t="shared" si="10"/>
        <v>0</v>
      </c>
      <c r="J29" s="59">
        <f t="shared" si="10"/>
        <v>0</v>
      </c>
      <c r="K29" s="59">
        <f t="shared" si="10"/>
        <v>0</v>
      </c>
      <c r="L29" s="59">
        <f t="shared" si="10"/>
        <v>0</v>
      </c>
      <c r="M29" s="59">
        <f t="shared" si="10"/>
        <v>0</v>
      </c>
      <c r="N29" s="59">
        <f t="shared" si="10"/>
        <v>0</v>
      </c>
      <c r="O29" s="59">
        <f t="shared" si="10"/>
        <v>0</v>
      </c>
      <c r="P29" s="59">
        <f t="shared" si="10"/>
        <v>0</v>
      </c>
      <c r="Q29" s="59">
        <f t="shared" si="10"/>
        <v>0</v>
      </c>
      <c r="R29" s="59">
        <f t="shared" si="10"/>
        <v>0</v>
      </c>
      <c r="S29" s="59">
        <f t="shared" si="10"/>
        <v>0</v>
      </c>
      <c r="T29" s="59">
        <f t="shared" si="10"/>
        <v>0</v>
      </c>
      <c r="U29" s="59">
        <f t="shared" si="10"/>
        <v>0</v>
      </c>
    </row>
    <row r="30" spans="1:21" ht="12" customHeight="1" x14ac:dyDescent="0.2">
      <c r="A30" s="7"/>
      <c r="B30" s="59"/>
      <c r="C30" s="59"/>
      <c r="D30" s="59"/>
      <c r="E30" s="59"/>
      <c r="F30" s="59"/>
      <c r="G30" s="59"/>
      <c r="H30" s="59"/>
      <c r="I30" s="59"/>
      <c r="J30" s="59"/>
      <c r="K30" s="59"/>
      <c r="L30" s="59"/>
      <c r="M30" s="59"/>
      <c r="N30" s="59"/>
      <c r="O30" s="59"/>
      <c r="P30" s="59"/>
      <c r="Q30" s="59"/>
      <c r="R30" s="59"/>
      <c r="S30" s="59"/>
      <c r="T30" s="59"/>
      <c r="U30" s="59"/>
    </row>
    <row r="31" spans="1:21" ht="12" customHeight="1" x14ac:dyDescent="0.2">
      <c r="A31" s="7" t="s">
        <v>319</v>
      </c>
      <c r="B31" s="59">
        <f>'BV ja, BV nee'!E16</f>
        <v>95100</v>
      </c>
      <c r="C31" s="17">
        <f>B31+C20-B20</f>
        <v>95100</v>
      </c>
      <c r="D31" s="17">
        <f t="shared" ref="D31:U31" si="11">C31+D20-C20</f>
        <v>95100</v>
      </c>
      <c r="E31" s="17">
        <f t="shared" si="11"/>
        <v>95100</v>
      </c>
      <c r="F31" s="17">
        <f t="shared" si="11"/>
        <v>95100</v>
      </c>
      <c r="G31" s="17">
        <f t="shared" si="11"/>
        <v>95100</v>
      </c>
      <c r="H31" s="17">
        <f t="shared" si="11"/>
        <v>95100</v>
      </c>
      <c r="I31" s="17">
        <f t="shared" si="11"/>
        <v>95100</v>
      </c>
      <c r="J31" s="17">
        <f t="shared" si="11"/>
        <v>95100</v>
      </c>
      <c r="K31" s="17">
        <f t="shared" si="11"/>
        <v>95100</v>
      </c>
      <c r="L31" s="17">
        <f t="shared" si="11"/>
        <v>95100</v>
      </c>
      <c r="M31" s="17">
        <f t="shared" si="11"/>
        <v>95100</v>
      </c>
      <c r="N31" s="17">
        <f t="shared" si="11"/>
        <v>95100</v>
      </c>
      <c r="O31" s="17">
        <f t="shared" si="11"/>
        <v>95100</v>
      </c>
      <c r="P31" s="17">
        <f t="shared" si="11"/>
        <v>95100</v>
      </c>
      <c r="Q31" s="17">
        <f t="shared" si="11"/>
        <v>95100</v>
      </c>
      <c r="R31" s="17">
        <f t="shared" si="11"/>
        <v>95100</v>
      </c>
      <c r="S31" s="17">
        <f t="shared" si="11"/>
        <v>95100</v>
      </c>
      <c r="T31" s="17">
        <f t="shared" si="11"/>
        <v>95100</v>
      </c>
      <c r="U31" s="17">
        <f t="shared" si="11"/>
        <v>95100</v>
      </c>
    </row>
    <row r="32" spans="1:21" ht="12" customHeight="1" x14ac:dyDescent="0.2">
      <c r="A32" s="7" t="s">
        <v>87</v>
      </c>
      <c r="B32" s="59">
        <f>Ruisend!B17/10</f>
        <v>0</v>
      </c>
      <c r="C32" s="59">
        <f t="shared" ref="C32:F32" si="12">B32</f>
        <v>0</v>
      </c>
      <c r="D32" s="59">
        <f t="shared" si="12"/>
        <v>0</v>
      </c>
      <c r="E32" s="59">
        <f t="shared" si="12"/>
        <v>0</v>
      </c>
      <c r="F32" s="59">
        <f t="shared" si="12"/>
        <v>0</v>
      </c>
      <c r="G32" s="59">
        <f t="shared" ref="G32:J32" si="13">F32</f>
        <v>0</v>
      </c>
      <c r="H32" s="59">
        <f t="shared" si="13"/>
        <v>0</v>
      </c>
      <c r="I32" s="59">
        <f t="shared" si="13"/>
        <v>0</v>
      </c>
      <c r="J32" s="59">
        <f t="shared" si="13"/>
        <v>0</v>
      </c>
      <c r="K32" s="59">
        <f t="shared" ref="K32:U32" si="14">J32</f>
        <v>0</v>
      </c>
      <c r="L32" s="59">
        <v>0</v>
      </c>
      <c r="M32" s="59">
        <f t="shared" si="14"/>
        <v>0</v>
      </c>
      <c r="N32" s="59">
        <f t="shared" si="14"/>
        <v>0</v>
      </c>
      <c r="O32" s="59">
        <f t="shared" si="14"/>
        <v>0</v>
      </c>
      <c r="P32" s="59">
        <f t="shared" si="14"/>
        <v>0</v>
      </c>
      <c r="Q32" s="59">
        <f t="shared" si="14"/>
        <v>0</v>
      </c>
      <c r="R32" s="59">
        <f t="shared" si="14"/>
        <v>0</v>
      </c>
      <c r="S32" s="59">
        <f t="shared" si="14"/>
        <v>0</v>
      </c>
      <c r="T32" s="59">
        <f t="shared" si="14"/>
        <v>0</v>
      </c>
      <c r="U32" s="59">
        <f t="shared" si="14"/>
        <v>0</v>
      </c>
    </row>
    <row r="33" spans="1:21" ht="12" customHeight="1" x14ac:dyDescent="0.2">
      <c r="A33" s="7" t="s">
        <v>316</v>
      </c>
      <c r="B33" s="60">
        <f>D7*D8</f>
        <v>0</v>
      </c>
      <c r="C33" s="60">
        <f t="shared" ref="C33:U33" si="15">$D$8*B27</f>
        <v>0</v>
      </c>
      <c r="D33" s="60">
        <f t="shared" si="15"/>
        <v>0</v>
      </c>
      <c r="E33" s="60">
        <f t="shared" si="15"/>
        <v>0</v>
      </c>
      <c r="F33" s="60">
        <f t="shared" si="15"/>
        <v>0</v>
      </c>
      <c r="G33" s="60">
        <f t="shared" si="15"/>
        <v>0</v>
      </c>
      <c r="H33" s="60">
        <f t="shared" si="15"/>
        <v>0</v>
      </c>
      <c r="I33" s="60">
        <f t="shared" si="15"/>
        <v>0</v>
      </c>
      <c r="J33" s="60">
        <f t="shared" si="15"/>
        <v>0</v>
      </c>
      <c r="K33" s="60">
        <f t="shared" si="15"/>
        <v>0</v>
      </c>
      <c r="L33" s="60">
        <f t="shared" si="15"/>
        <v>0</v>
      </c>
      <c r="M33" s="60">
        <f t="shared" si="15"/>
        <v>0</v>
      </c>
      <c r="N33" s="60">
        <f t="shared" si="15"/>
        <v>0</v>
      </c>
      <c r="O33" s="60">
        <f t="shared" si="15"/>
        <v>0</v>
      </c>
      <c r="P33" s="60">
        <f t="shared" si="15"/>
        <v>0</v>
      </c>
      <c r="Q33" s="60">
        <f t="shared" si="15"/>
        <v>0</v>
      </c>
      <c r="R33" s="60">
        <f t="shared" si="15"/>
        <v>0</v>
      </c>
      <c r="S33" s="60">
        <f t="shared" si="15"/>
        <v>0</v>
      </c>
      <c r="T33" s="60">
        <f t="shared" si="15"/>
        <v>0</v>
      </c>
      <c r="U33" s="60">
        <f t="shared" si="15"/>
        <v>0</v>
      </c>
    </row>
    <row r="34" spans="1:21" ht="12" customHeight="1" x14ac:dyDescent="0.2">
      <c r="A34" s="7" t="s">
        <v>26</v>
      </c>
      <c r="B34" s="59">
        <f>B31-B32-B33</f>
        <v>95100</v>
      </c>
      <c r="C34" s="59">
        <f>C31-C32-C33</f>
        <v>95100</v>
      </c>
      <c r="D34" s="59">
        <f t="shared" ref="D34:U34" si="16">D31-D32-D33</f>
        <v>95100</v>
      </c>
      <c r="E34" s="59">
        <f t="shared" si="16"/>
        <v>95100</v>
      </c>
      <c r="F34" s="59">
        <f t="shared" si="16"/>
        <v>95100</v>
      </c>
      <c r="G34" s="59">
        <f t="shared" si="16"/>
        <v>95100</v>
      </c>
      <c r="H34" s="59">
        <f t="shared" si="16"/>
        <v>95100</v>
      </c>
      <c r="I34" s="59">
        <f t="shared" si="16"/>
        <v>95100</v>
      </c>
      <c r="J34" s="59">
        <f t="shared" si="16"/>
        <v>95100</v>
      </c>
      <c r="K34" s="59">
        <f t="shared" si="16"/>
        <v>95100</v>
      </c>
      <c r="L34" s="59">
        <f t="shared" si="16"/>
        <v>95100</v>
      </c>
      <c r="M34" s="59">
        <f t="shared" si="16"/>
        <v>95100</v>
      </c>
      <c r="N34" s="59">
        <f t="shared" si="16"/>
        <v>95100</v>
      </c>
      <c r="O34" s="59">
        <f t="shared" si="16"/>
        <v>95100</v>
      </c>
      <c r="P34" s="59">
        <f t="shared" si="16"/>
        <v>95100</v>
      </c>
      <c r="Q34" s="59">
        <f t="shared" si="16"/>
        <v>95100</v>
      </c>
      <c r="R34" s="59">
        <f t="shared" si="16"/>
        <v>95100</v>
      </c>
      <c r="S34" s="59">
        <f t="shared" si="16"/>
        <v>95100</v>
      </c>
      <c r="T34" s="59">
        <f t="shared" si="16"/>
        <v>95100</v>
      </c>
      <c r="U34" s="59">
        <f t="shared" si="16"/>
        <v>95100</v>
      </c>
    </row>
    <row r="35" spans="1:21" ht="12" customHeight="1" x14ac:dyDescent="0.2">
      <c r="A35" s="7" t="s">
        <v>121</v>
      </c>
      <c r="B35" s="59">
        <f>MAX(0,IF(B34&gt;Tabellen!$E$22,Tabellen!$E$24*Tabellen!$E$22+(B34-Tabellen!$E$22)*Tabellen!$E$23,B34*Tabellen!$E$24))</f>
        <v>18069</v>
      </c>
      <c r="C35" s="59">
        <f>MAX(0,IF(C34&gt;Tabellen!$E$22,Tabellen!$E$24*Tabellen!$E$22+(C34-Tabellen!$E$22)*Tabellen!$E$23,C34*Tabellen!$E$24))</f>
        <v>18069</v>
      </c>
      <c r="D35" s="59">
        <f>MAX(0,IF(D34&gt;Tabellen!$E$22,Tabellen!$E$24*Tabellen!$E$22+(D34-Tabellen!$E$22)*Tabellen!$E$23,D34*Tabellen!$E$24))</f>
        <v>18069</v>
      </c>
      <c r="E35" s="59">
        <f>MAX(0,IF(E34&gt;Tabellen!$E$22,Tabellen!$E$24*Tabellen!$E$22+(E34-Tabellen!$E$22)*Tabellen!$E$23,E34*Tabellen!$E$24))</f>
        <v>18069</v>
      </c>
      <c r="F35" s="59">
        <f>MAX(0,IF(F34&gt;Tabellen!$E$22,Tabellen!$E$24*Tabellen!$E$22+(F34-Tabellen!$E$22)*Tabellen!$E$23,F34*Tabellen!$E$24))</f>
        <v>18069</v>
      </c>
      <c r="G35" s="59">
        <f>MAX(0,IF(G34&gt;Tabellen!$E$22,Tabellen!$E$24*Tabellen!$E$22+(G34-Tabellen!$E$22)*Tabellen!$E$23,G34*Tabellen!$E$24))</f>
        <v>18069</v>
      </c>
      <c r="H35" s="59">
        <f>MAX(0,IF(H34&gt;Tabellen!$E$22,Tabellen!$E$24*Tabellen!$E$22+(H34-Tabellen!$E$22)*Tabellen!$E$23,H34*Tabellen!$E$24))</f>
        <v>18069</v>
      </c>
      <c r="I35" s="59">
        <f>MAX(0,IF(I34&gt;Tabellen!$E$22,Tabellen!$E$24*Tabellen!$E$22+(I34-Tabellen!$E$22)*Tabellen!$E$23,I34*Tabellen!$E$24))</f>
        <v>18069</v>
      </c>
      <c r="J35" s="59">
        <f>MAX(0,IF(J34&gt;Tabellen!$E$22,Tabellen!$E$24*Tabellen!$E$22+(J34-Tabellen!$E$22)*Tabellen!$E$23,J34*Tabellen!$E$24))</f>
        <v>18069</v>
      </c>
      <c r="K35" s="59">
        <f>MAX(0,IF(K34&gt;Tabellen!$E$22,Tabellen!$E$24*Tabellen!$E$22+(K34-Tabellen!$E$22)*Tabellen!$E$23,K34*Tabellen!$E$24))</f>
        <v>18069</v>
      </c>
      <c r="L35" s="59">
        <f>MAX(0,IF(L34&gt;Tabellen!$E$22,Tabellen!$E$24*Tabellen!$E$22+(L34-Tabellen!$E$22)*Tabellen!$E$23,L34*Tabellen!$E$24))</f>
        <v>18069</v>
      </c>
      <c r="M35" s="59">
        <f>MAX(0,IF(M34&gt;Tabellen!$E$22,Tabellen!$E$24*Tabellen!$E$22+(M34-Tabellen!$E$22)*Tabellen!$E$23,M34*Tabellen!$E$24))</f>
        <v>18069</v>
      </c>
      <c r="N35" s="59">
        <f>MAX(0,IF(N34&gt;Tabellen!$E$22,Tabellen!$E$24*Tabellen!$E$22+(N34-Tabellen!$E$22)*Tabellen!$E$23,N34*Tabellen!$E$24))</f>
        <v>18069</v>
      </c>
      <c r="O35" s="59">
        <f>MAX(0,IF(O34&gt;Tabellen!$E$22,Tabellen!$E$24*Tabellen!$E$22+(O34-Tabellen!$E$22)*Tabellen!$E$23,O34*Tabellen!$E$24))</f>
        <v>18069</v>
      </c>
      <c r="P35" s="59">
        <f>MAX(0,IF(P34&gt;Tabellen!$E$22,Tabellen!$E$24*Tabellen!$E$22+(P34-Tabellen!$E$22)*Tabellen!$E$23,P34*Tabellen!$E$24))</f>
        <v>18069</v>
      </c>
      <c r="Q35" s="59">
        <f>MAX(0,IF(Q34&gt;Tabellen!$E$22,Tabellen!$E$24*Tabellen!$E$22+(Q34-Tabellen!$E$22)*Tabellen!$E$23,Q34*Tabellen!$E$24))</f>
        <v>18069</v>
      </c>
      <c r="R35" s="59">
        <f>MAX(0,IF(R34&gt;Tabellen!$E$22,Tabellen!$E$24*Tabellen!$E$22+(R34-Tabellen!$E$22)*Tabellen!$E$23,R34*Tabellen!$E$24))</f>
        <v>18069</v>
      </c>
      <c r="S35" s="59">
        <f>MAX(0,IF(S34&gt;Tabellen!$E$22,Tabellen!$E$24*Tabellen!$E$22+(S34-Tabellen!$E$22)*Tabellen!$E$23,S34*Tabellen!$E$24))</f>
        <v>18069</v>
      </c>
      <c r="T35" s="59">
        <f>MAX(0,IF(T34&gt;Tabellen!$E$22,Tabellen!$E$24*Tabellen!$E$22+(T34-Tabellen!$E$22)*Tabellen!$E$23,T34*Tabellen!$E$24))</f>
        <v>18069</v>
      </c>
      <c r="U35" s="59">
        <f>MAX(0,IF(U34&gt;Tabellen!$E$22,Tabellen!$E$24*Tabellen!$E$22+(U34-Tabellen!$E$22)*Tabellen!$E$23,U34*Tabellen!$E$24))</f>
        <v>18069</v>
      </c>
    </row>
    <row r="36" spans="1:21" ht="12" customHeight="1" x14ac:dyDescent="0.2">
      <c r="A36" s="7" t="s">
        <v>252</v>
      </c>
      <c r="B36" s="60">
        <f>'BV ja, BV nee'!$E$4</f>
        <v>2500</v>
      </c>
      <c r="C36" s="60">
        <f>B36</f>
        <v>2500</v>
      </c>
      <c r="D36" s="60">
        <f t="shared" ref="D36:U36" si="17">C36</f>
        <v>2500</v>
      </c>
      <c r="E36" s="60">
        <f t="shared" si="17"/>
        <v>2500</v>
      </c>
      <c r="F36" s="60">
        <f t="shared" si="17"/>
        <v>2500</v>
      </c>
      <c r="G36" s="60">
        <f t="shared" si="17"/>
        <v>2500</v>
      </c>
      <c r="H36" s="60">
        <f t="shared" si="17"/>
        <v>2500</v>
      </c>
      <c r="I36" s="60">
        <f t="shared" si="17"/>
        <v>2500</v>
      </c>
      <c r="J36" s="60">
        <f t="shared" si="17"/>
        <v>2500</v>
      </c>
      <c r="K36" s="60">
        <f t="shared" si="17"/>
        <v>2500</v>
      </c>
      <c r="L36" s="60">
        <f t="shared" si="17"/>
        <v>2500</v>
      </c>
      <c r="M36" s="60">
        <f t="shared" si="17"/>
        <v>2500</v>
      </c>
      <c r="N36" s="60">
        <f t="shared" si="17"/>
        <v>2500</v>
      </c>
      <c r="O36" s="60">
        <f t="shared" si="17"/>
        <v>2500</v>
      </c>
      <c r="P36" s="60">
        <f t="shared" si="17"/>
        <v>2500</v>
      </c>
      <c r="Q36" s="60">
        <f t="shared" si="17"/>
        <v>2500</v>
      </c>
      <c r="R36" s="60">
        <f t="shared" si="17"/>
        <v>2500</v>
      </c>
      <c r="S36" s="60">
        <f t="shared" si="17"/>
        <v>2500</v>
      </c>
      <c r="T36" s="60">
        <f t="shared" si="17"/>
        <v>2500</v>
      </c>
      <c r="U36" s="60">
        <f t="shared" si="17"/>
        <v>2500</v>
      </c>
    </row>
    <row r="37" spans="1:21" ht="12" customHeight="1" x14ac:dyDescent="0.2">
      <c r="A37" s="7"/>
      <c r="B37" s="36"/>
      <c r="C37" s="36"/>
      <c r="D37" s="36"/>
      <c r="E37" s="36"/>
      <c r="F37" s="36"/>
      <c r="G37" s="36"/>
      <c r="H37" s="36"/>
      <c r="I37" s="36"/>
      <c r="J37" s="36"/>
      <c r="K37" s="36"/>
      <c r="L37" s="36"/>
      <c r="M37" s="36"/>
      <c r="N37" s="36"/>
      <c r="O37" s="36"/>
      <c r="P37" s="36"/>
      <c r="Q37" s="36"/>
      <c r="R37" s="36"/>
      <c r="S37" s="36"/>
      <c r="T37" s="36"/>
      <c r="U37" s="36"/>
    </row>
    <row r="38" spans="1:21" ht="12" customHeight="1" x14ac:dyDescent="0.2">
      <c r="A38" s="7" t="s">
        <v>262</v>
      </c>
      <c r="B38" s="59">
        <f t="shared" ref="B38:U38" si="18">B23-B28-B29-B35-B36</f>
        <v>8890.3206399999981</v>
      </c>
      <c r="C38" s="59">
        <f t="shared" si="18"/>
        <v>8890.3206399999981</v>
      </c>
      <c r="D38" s="59">
        <f t="shared" si="18"/>
        <v>8890.3206399999981</v>
      </c>
      <c r="E38" s="59">
        <f t="shared" si="18"/>
        <v>8890.3206399999981</v>
      </c>
      <c r="F38" s="59">
        <f t="shared" si="18"/>
        <v>8890.3206399999981</v>
      </c>
      <c r="G38" s="59">
        <f t="shared" si="18"/>
        <v>8890.3206399999981</v>
      </c>
      <c r="H38" s="59">
        <f t="shared" si="18"/>
        <v>8890.3206399999981</v>
      </c>
      <c r="I38" s="59">
        <f t="shared" si="18"/>
        <v>8890.3206399999981</v>
      </c>
      <c r="J38" s="59">
        <f t="shared" si="18"/>
        <v>8890.3206399999981</v>
      </c>
      <c r="K38" s="59">
        <f t="shared" si="18"/>
        <v>8890.3206399999981</v>
      </c>
      <c r="L38" s="59">
        <f t="shared" si="18"/>
        <v>8890.3206399999981</v>
      </c>
      <c r="M38" s="59">
        <f t="shared" si="18"/>
        <v>8890.3206399999981</v>
      </c>
      <c r="N38" s="59">
        <f t="shared" si="18"/>
        <v>8890.3206399999981</v>
      </c>
      <c r="O38" s="59">
        <f t="shared" si="18"/>
        <v>8890.3206399999981</v>
      </c>
      <c r="P38" s="59">
        <f t="shared" si="18"/>
        <v>8890.3206399999981</v>
      </c>
      <c r="Q38" s="59">
        <f t="shared" si="18"/>
        <v>8890.3206399999981</v>
      </c>
      <c r="R38" s="59">
        <f t="shared" si="18"/>
        <v>8890.3206399999981</v>
      </c>
      <c r="S38" s="59">
        <f t="shared" si="18"/>
        <v>8890.3206399999981</v>
      </c>
      <c r="T38" s="59">
        <f t="shared" si="18"/>
        <v>8890.3206399999981</v>
      </c>
      <c r="U38" s="59">
        <f t="shared" si="18"/>
        <v>8890.3206399999981</v>
      </c>
    </row>
    <row r="39" spans="1:21" ht="12" customHeight="1" x14ac:dyDescent="0.2">
      <c r="A39" s="7" t="s">
        <v>103</v>
      </c>
      <c r="B39" s="59">
        <f>B38*(1+50%*($D$11*(1-$D$12)))</f>
        <v>8955.1310774655976</v>
      </c>
      <c r="C39" s="59">
        <f t="shared" ref="C39:U39" si="19">B39*(1+$D$11*(1-$D$12))+C38*(1+50%*($D$11*(1-$D$12)))</f>
        <v>18040.827966040644</v>
      </c>
      <c r="D39" s="59">
        <f t="shared" si="19"/>
        <v>27258.994315251115</v>
      </c>
      <c r="E39" s="59">
        <f t="shared" si="19"/>
        <v>36611.561529833074</v>
      </c>
      <c r="F39" s="59">
        <f t="shared" si="19"/>
        <v>46100.489174403643</v>
      </c>
      <c r="G39" s="59">
        <f t="shared" si="19"/>
        <v>55727.765384032042</v>
      </c>
      <c r="H39" s="59">
        <f t="shared" si="19"/>
        <v>65495.407280796833</v>
      </c>
      <c r="I39" s="59">
        <f t="shared" si="19"/>
        <v>75405.46139641646</v>
      </c>
      <c r="J39" s="59">
        <f t="shared" si="19"/>
        <v>85460.004101041821</v>
      </c>
      <c r="K39" s="59">
        <f t="shared" si="19"/>
        <v>95661.142038300619</v>
      </c>
      <c r="L39" s="59">
        <f t="shared" si="19"/>
        <v>106011.01256668464</v>
      </c>
      <c r="M39" s="59">
        <f t="shared" si="19"/>
        <v>116511.7842073725</v>
      </c>
      <c r="N39" s="59">
        <f t="shared" si="19"/>
        <v>127165.65709858161</v>
      </c>
      <c r="O39" s="59">
        <f t="shared" si="19"/>
        <v>137974.86345654452</v>
      </c>
      <c r="P39" s="59">
        <f t="shared" si="19"/>
        <v>148941.66804320656</v>
      </c>
      <c r="Q39" s="59">
        <f t="shared" si="19"/>
        <v>160068.36864074212</v>
      </c>
      <c r="R39" s="59">
        <f t="shared" si="19"/>
        <v>171357.29653298974</v>
      </c>
      <c r="S39" s="59">
        <f t="shared" si="19"/>
        <v>182810.81699390634</v>
      </c>
      <c r="T39" s="59">
        <f t="shared" si="19"/>
        <v>194431.3297831431</v>
      </c>
      <c r="U39" s="59">
        <f t="shared" si="19"/>
        <v>206221.26964884694</v>
      </c>
    </row>
    <row r="40" spans="1:21" ht="12" customHeight="1" x14ac:dyDescent="0.2">
      <c r="A40" s="7"/>
      <c r="B40" s="61"/>
      <c r="C40" s="61"/>
      <c r="D40" s="61"/>
      <c r="E40" s="61"/>
      <c r="F40" s="61"/>
      <c r="G40" s="61"/>
      <c r="H40" s="61"/>
      <c r="I40" s="61"/>
      <c r="J40" s="61"/>
      <c r="K40" s="61"/>
      <c r="L40" s="61"/>
      <c r="M40" s="61"/>
      <c r="N40" s="61"/>
      <c r="O40" s="61"/>
      <c r="P40" s="61"/>
      <c r="Q40" s="61"/>
      <c r="R40" s="61"/>
      <c r="S40" s="61"/>
      <c r="T40" s="61"/>
      <c r="U40" s="61"/>
    </row>
    <row r="41" spans="1:21" ht="12" customHeight="1" x14ac:dyDescent="0.2">
      <c r="A41" s="7" t="s">
        <v>142</v>
      </c>
      <c r="B41" s="59">
        <f>B20-'BV ja, BV nee'!$E$9-'BV ja, BV nee'!$E$8-Liqvoord!B35-Liqvoord!B36</f>
        <v>29431</v>
      </c>
      <c r="C41" s="59">
        <f>C20-'BV ja, BV nee'!$E$9-'BV ja, BV nee'!$E$8-Liqvoord!C35-Liqvoord!C36</f>
        <v>29431</v>
      </c>
      <c r="D41" s="59">
        <f>D20-'BV ja, BV nee'!$E$9-'BV ja, BV nee'!$E$8-Liqvoord!D35-Liqvoord!D36</f>
        <v>29431</v>
      </c>
      <c r="E41" s="59">
        <f>E20-'BV ja, BV nee'!$E$9-'BV ja, BV nee'!$E$8-Liqvoord!E35-Liqvoord!E36</f>
        <v>29431</v>
      </c>
      <c r="F41" s="59">
        <f>F20-'BV ja, BV nee'!$E$9-'BV ja, BV nee'!$E$8-Liqvoord!F35-Liqvoord!F36</f>
        <v>29431</v>
      </c>
      <c r="G41" s="59">
        <f>G20-'BV ja, BV nee'!$E$9-'BV ja, BV nee'!$E$8-Liqvoord!G35-Liqvoord!G36</f>
        <v>29431</v>
      </c>
      <c r="H41" s="59">
        <f>H20-'BV ja, BV nee'!$E$9-'BV ja, BV nee'!$E$8-Liqvoord!H35-Liqvoord!H36</f>
        <v>29431</v>
      </c>
      <c r="I41" s="59">
        <f>I20-'BV ja, BV nee'!$E$9-'BV ja, BV nee'!$E$8-Liqvoord!I35-Liqvoord!I36</f>
        <v>29431</v>
      </c>
      <c r="J41" s="59">
        <f>J20-'BV ja, BV nee'!$E$9-'BV ja, BV nee'!$E$8-Liqvoord!J35-Liqvoord!J36</f>
        <v>29431</v>
      </c>
      <c r="K41" s="59">
        <f>K20-'BV ja, BV nee'!$E$9-'BV ja, BV nee'!$E$8-Liqvoord!K35-Liqvoord!K36</f>
        <v>29431</v>
      </c>
      <c r="L41" s="59">
        <f>L20-'BV ja, BV nee'!$E$9-'BV ja, BV nee'!$E$8-Liqvoord!L35-Liqvoord!L36</f>
        <v>29431</v>
      </c>
      <c r="M41" s="59">
        <f>M20-'BV ja, BV nee'!$E$9-'BV ja, BV nee'!$E$8-Liqvoord!M35-Liqvoord!M36</f>
        <v>29431</v>
      </c>
      <c r="N41" s="59">
        <f>N20-'BV ja, BV nee'!$E$9-'BV ja, BV nee'!$E$8-Liqvoord!N35-Liqvoord!N36</f>
        <v>29431</v>
      </c>
      <c r="O41" s="59">
        <f>O20-'BV ja, BV nee'!$E$9-'BV ja, BV nee'!$E$8-Liqvoord!O35-Liqvoord!O36</f>
        <v>29431</v>
      </c>
      <c r="P41" s="59">
        <f>P20-'BV ja, BV nee'!$E$9-'BV ja, BV nee'!$E$8-Liqvoord!P35-Liqvoord!P36</f>
        <v>29431</v>
      </c>
      <c r="Q41" s="59">
        <f>Q20-'BV ja, BV nee'!$E$9-'BV ja, BV nee'!$E$8-Liqvoord!Q35-Liqvoord!Q36</f>
        <v>29431</v>
      </c>
      <c r="R41" s="59">
        <f>R20-'BV ja, BV nee'!$E$9-'BV ja, BV nee'!$E$8-Liqvoord!R35-Liqvoord!R36</f>
        <v>29431</v>
      </c>
      <c r="S41" s="59">
        <f>S20-'BV ja, BV nee'!$E$9-'BV ja, BV nee'!$E$8-Liqvoord!S35-Liqvoord!S36</f>
        <v>29431</v>
      </c>
      <c r="T41" s="59">
        <f>T20-'BV ja, BV nee'!$E$9-'BV ja, BV nee'!$E$8-Liqvoord!T35-Liqvoord!T36</f>
        <v>29431</v>
      </c>
      <c r="U41" s="59">
        <f>U20-'BV ja, BV nee'!$E$9-'BV ja, BV nee'!$E$8-Liqvoord!U35-Liqvoord!U36</f>
        <v>29431</v>
      </c>
    </row>
    <row r="42" spans="1:21" ht="12" customHeight="1" x14ac:dyDescent="0.2">
      <c r="A42" s="7" t="s">
        <v>110</v>
      </c>
      <c r="B42" s="59">
        <f>B41</f>
        <v>29431</v>
      </c>
      <c r="C42" s="59">
        <f>B42+C41</f>
        <v>58862</v>
      </c>
      <c r="D42" s="59">
        <f t="shared" ref="D42:U42" si="20">C42+D41</f>
        <v>88293</v>
      </c>
      <c r="E42" s="59">
        <f t="shared" si="20"/>
        <v>117724</v>
      </c>
      <c r="F42" s="59">
        <f t="shared" si="20"/>
        <v>147155</v>
      </c>
      <c r="G42" s="59">
        <f t="shared" si="20"/>
        <v>176586</v>
      </c>
      <c r="H42" s="59">
        <f t="shared" si="20"/>
        <v>206017</v>
      </c>
      <c r="I42" s="59">
        <f t="shared" si="20"/>
        <v>235448</v>
      </c>
      <c r="J42" s="59">
        <f t="shared" si="20"/>
        <v>264879</v>
      </c>
      <c r="K42" s="59">
        <f t="shared" si="20"/>
        <v>294310</v>
      </c>
      <c r="L42" s="59">
        <f t="shared" si="20"/>
        <v>323741</v>
      </c>
      <c r="M42" s="59">
        <f t="shared" si="20"/>
        <v>353172</v>
      </c>
      <c r="N42" s="59">
        <f t="shared" si="20"/>
        <v>382603</v>
      </c>
      <c r="O42" s="59">
        <f t="shared" si="20"/>
        <v>412034</v>
      </c>
      <c r="P42" s="59">
        <f t="shared" si="20"/>
        <v>441465</v>
      </c>
      <c r="Q42" s="59">
        <f t="shared" si="20"/>
        <v>470896</v>
      </c>
      <c r="R42" s="59">
        <f t="shared" si="20"/>
        <v>500327</v>
      </c>
      <c r="S42" s="59">
        <f t="shared" si="20"/>
        <v>529758</v>
      </c>
      <c r="T42" s="59">
        <f t="shared" si="20"/>
        <v>559189</v>
      </c>
      <c r="U42" s="59">
        <f t="shared" si="20"/>
        <v>588620</v>
      </c>
    </row>
    <row r="43" spans="1:21" x14ac:dyDescent="0.2"/>
    <row r="44" spans="1:21" x14ac:dyDescent="0.2"/>
  </sheetData>
  <sheetProtection sheet="1" objects="1" scenarios="1" autoFilter="0"/>
  <phoneticPr fontId="0" type="noConversion"/>
  <pageMargins left="0.75" right="0.75" top="1" bottom="1" header="0.5" footer="0.5"/>
  <pageSetup paperSize="9" scale="98" orientation="landscape" r:id="rId1"/>
  <headerFooter alignWithMargins="0"/>
  <colBreaks count="1" manualBreakCount="1">
    <brk id="13" max="1048575" man="1"/>
  </col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2"/>
  <dimension ref="A1:C32"/>
  <sheetViews>
    <sheetView showGridLines="0" zoomScaleNormal="100" workbookViewId="0">
      <selection activeCell="B4" sqref="B4"/>
    </sheetView>
  </sheetViews>
  <sheetFormatPr defaultColWidth="0" defaultRowHeight="12.75" zeroHeight="1" x14ac:dyDescent="0.2"/>
  <cols>
    <col min="1" max="1" width="45.85546875" customWidth="1"/>
    <col min="2" max="2" width="9.140625" customWidth="1"/>
    <col min="3" max="3" width="3.5703125" customWidth="1"/>
    <col min="4" max="16384" width="9" hidden="1"/>
  </cols>
  <sheetData>
    <row r="1" spans="1:3" ht="18" customHeight="1" x14ac:dyDescent="0.2">
      <c r="A1" s="88" t="str">
        <f>"Openingsbalans ruisende inbreng - " &amp; versie</f>
        <v>Openingsbalans ruisende inbreng - v20260304</v>
      </c>
      <c r="B1" s="88"/>
      <c r="C1" s="88"/>
    </row>
    <row r="2" spans="1:3" ht="12" customHeight="1" x14ac:dyDescent="0.2">
      <c r="A2" s="62"/>
      <c r="B2" s="62"/>
      <c r="C2" s="62"/>
    </row>
    <row r="3" spans="1:3" ht="12" customHeight="1" x14ac:dyDescent="0.2">
      <c r="A3" s="7" t="s">
        <v>238</v>
      </c>
      <c r="B3" s="62"/>
      <c r="C3" s="62"/>
    </row>
    <row r="4" spans="1:3" ht="12" customHeight="1" x14ac:dyDescent="0.2">
      <c r="A4" s="46" t="s">
        <v>101</v>
      </c>
      <c r="B4" s="15"/>
      <c r="C4" s="62"/>
    </row>
    <row r="5" spans="1:3" ht="12" customHeight="1" x14ac:dyDescent="0.2"/>
    <row r="6" spans="1:3" s="7" customFormat="1" ht="12" customHeight="1" x14ac:dyDescent="0.2">
      <c r="A6" s="35" t="s">
        <v>28</v>
      </c>
      <c r="B6" s="9"/>
    </row>
    <row r="7" spans="1:3" s="7" customFormat="1" ht="12" customHeight="1" x14ac:dyDescent="0.2">
      <c r="A7" s="7" t="s">
        <v>29</v>
      </c>
      <c r="B7" s="2">
        <v>0</v>
      </c>
    </row>
    <row r="8" spans="1:3" s="7" customFormat="1" ht="12" customHeight="1" x14ac:dyDescent="0.2">
      <c r="A8" s="7" t="s">
        <v>30</v>
      </c>
      <c r="B8" s="2">
        <v>0</v>
      </c>
    </row>
    <row r="9" spans="1:3" s="7" customFormat="1" ht="12" customHeight="1" x14ac:dyDescent="0.2">
      <c r="A9" s="7" t="s">
        <v>31</v>
      </c>
      <c r="B9" s="2">
        <v>0</v>
      </c>
    </row>
    <row r="10" spans="1:3" s="7" customFormat="1" ht="12" customHeight="1" x14ac:dyDescent="0.2">
      <c r="A10" s="7" t="s">
        <v>32</v>
      </c>
      <c r="B10" s="2">
        <v>0</v>
      </c>
    </row>
    <row r="11" spans="1:3" s="7" customFormat="1" ht="12" customHeight="1" x14ac:dyDescent="0.2">
      <c r="A11" s="7" t="s">
        <v>33</v>
      </c>
      <c r="B11" s="2">
        <v>0</v>
      </c>
    </row>
    <row r="12" spans="1:3" s="7" customFormat="1" ht="12" customHeight="1" x14ac:dyDescent="0.2">
      <c r="A12" s="7" t="s">
        <v>42</v>
      </c>
      <c r="B12" s="2">
        <v>0</v>
      </c>
    </row>
    <row r="13" spans="1:3" s="7" customFormat="1" ht="12" customHeight="1" x14ac:dyDescent="0.2">
      <c r="A13" s="7" t="s">
        <v>27</v>
      </c>
      <c r="B13" s="2">
        <v>0</v>
      </c>
    </row>
    <row r="14" spans="1:3" s="7" customFormat="1" ht="12" customHeight="1" x14ac:dyDescent="0.2">
      <c r="A14" s="3" t="s">
        <v>34</v>
      </c>
      <c r="B14" s="2">
        <v>0</v>
      </c>
    </row>
    <row r="15" spans="1:3" s="7" customFormat="1" ht="12" customHeight="1" x14ac:dyDescent="0.2">
      <c r="A15" s="3" t="s">
        <v>34</v>
      </c>
      <c r="B15" s="2">
        <v>0</v>
      </c>
    </row>
    <row r="16" spans="1:3" s="7" customFormat="1" ht="12" customHeight="1" x14ac:dyDescent="0.2">
      <c r="A16" s="3" t="s">
        <v>34</v>
      </c>
      <c r="B16" s="6">
        <v>0</v>
      </c>
    </row>
    <row r="17" spans="1:2" s="7" customFormat="1" ht="12" customHeight="1" x14ac:dyDescent="0.2">
      <c r="A17" s="7" t="s">
        <v>44</v>
      </c>
      <c r="B17" s="38">
        <f>SUM(B7:B16)</f>
        <v>0</v>
      </c>
    </row>
    <row r="18" spans="1:2" s="7" customFormat="1" ht="12" customHeight="1" x14ac:dyDescent="0.2"/>
    <row r="19" spans="1:2" s="7" customFormat="1" ht="12" customHeight="1" x14ac:dyDescent="0.2">
      <c r="A19" s="35" t="s">
        <v>35</v>
      </c>
      <c r="B19" s="9"/>
    </row>
    <row r="20" spans="1:2" s="7" customFormat="1" ht="12" customHeight="1" x14ac:dyDescent="0.2">
      <c r="A20" s="7" t="s">
        <v>56</v>
      </c>
      <c r="B20" s="40">
        <f>B29-SUM(B21:B28)</f>
        <v>0</v>
      </c>
    </row>
    <row r="21" spans="1:2" s="7" customFormat="1" ht="12" customHeight="1" x14ac:dyDescent="0.2">
      <c r="A21" s="7" t="s">
        <v>38</v>
      </c>
      <c r="B21" s="2">
        <v>0</v>
      </c>
    </row>
    <row r="22" spans="1:2" s="7" customFormat="1" ht="12" customHeight="1" x14ac:dyDescent="0.2">
      <c r="A22" s="7" t="s">
        <v>42</v>
      </c>
      <c r="B22" s="2">
        <v>0</v>
      </c>
    </row>
    <row r="23" spans="1:2" s="7" customFormat="1" ht="12" customHeight="1" x14ac:dyDescent="0.2">
      <c r="A23" s="7" t="s">
        <v>51</v>
      </c>
      <c r="B23" s="2">
        <v>0</v>
      </c>
    </row>
    <row r="24" spans="1:2" s="7" customFormat="1" ht="12" customHeight="1" x14ac:dyDescent="0.2">
      <c r="A24" s="7" t="s">
        <v>52</v>
      </c>
      <c r="B24" s="2">
        <v>0</v>
      </c>
    </row>
    <row r="25" spans="1:2" s="7" customFormat="1" ht="12" customHeight="1" x14ac:dyDescent="0.2">
      <c r="A25" s="3" t="s">
        <v>34</v>
      </c>
      <c r="B25" s="2">
        <v>0</v>
      </c>
    </row>
    <row r="26" spans="1:2" s="7" customFormat="1" ht="12" customHeight="1" x14ac:dyDescent="0.2">
      <c r="A26" s="3" t="s">
        <v>34</v>
      </c>
      <c r="B26" s="2">
        <v>0</v>
      </c>
    </row>
    <row r="27" spans="1:2" s="7" customFormat="1" ht="12" customHeight="1" x14ac:dyDescent="0.2">
      <c r="A27" s="3" t="s">
        <v>34</v>
      </c>
      <c r="B27" s="2">
        <v>0</v>
      </c>
    </row>
    <row r="28" spans="1:2" s="7" customFormat="1" ht="12" customHeight="1" x14ac:dyDescent="0.2">
      <c r="A28" s="7" t="s">
        <v>54</v>
      </c>
      <c r="B28" s="6">
        <v>0</v>
      </c>
    </row>
    <row r="29" spans="1:2" s="7" customFormat="1" ht="12" customHeight="1" x14ac:dyDescent="0.2">
      <c r="A29" s="7" t="s">
        <v>44</v>
      </c>
      <c r="B29" s="38">
        <f>B17</f>
        <v>0</v>
      </c>
    </row>
    <row r="30" spans="1:2" s="7" customFormat="1" ht="11.25" x14ac:dyDescent="0.2"/>
    <row r="31" spans="1:2" x14ac:dyDescent="0.2"/>
    <row r="32" spans="1:2" x14ac:dyDescent="0.2"/>
  </sheetData>
  <sheetProtection sheet="1" objects="1" scenarios="1" autoFilter="0"/>
  <phoneticPr fontId="16" type="noConversion"/>
  <pageMargins left="0.75" right="0.75" top="1" bottom="1" header="0.5" footer="0.5"/>
  <pageSetup paperSize="9"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XFC65"/>
  <sheetViews>
    <sheetView showGridLines="0" zoomScaleNormal="100" workbookViewId="0">
      <selection activeCell="A28" sqref="A28"/>
    </sheetView>
  </sheetViews>
  <sheetFormatPr defaultColWidth="0" defaultRowHeight="11.25" zeroHeight="1" x14ac:dyDescent="0.2"/>
  <cols>
    <col min="1" max="1" width="44" style="7" customWidth="1"/>
    <col min="2" max="2" width="10" style="7" customWidth="1"/>
    <col min="3" max="6" width="10.42578125" style="7" customWidth="1"/>
    <col min="7" max="16383" width="9" style="7" hidden="1"/>
    <col min="16384" max="16384" width="3" style="7" hidden="1" customWidth="1"/>
  </cols>
  <sheetData>
    <row r="1" spans="1:6" ht="18" customHeight="1" x14ac:dyDescent="0.2">
      <c r="A1" s="85" t="str">
        <f>"Openingsbalans geruisloze inbreng - " &amp; versie</f>
        <v>Openingsbalans geruisloze inbreng - v20260304</v>
      </c>
      <c r="B1" s="85"/>
      <c r="C1" s="85"/>
      <c r="D1" s="85"/>
      <c r="E1" s="85"/>
      <c r="F1" s="85"/>
    </row>
    <row r="2" spans="1:6" ht="12" customHeight="1" x14ac:dyDescent="0.2"/>
    <row r="3" spans="1:6" ht="12" customHeight="1" x14ac:dyDescent="0.2">
      <c r="A3" s="8" t="s">
        <v>55</v>
      </c>
    </row>
    <row r="4" spans="1:6" ht="12" customHeight="1" x14ac:dyDescent="0.2">
      <c r="A4" s="35" t="s">
        <v>28</v>
      </c>
      <c r="B4" s="63" t="s">
        <v>45</v>
      </c>
      <c r="C4" s="63" t="s">
        <v>61</v>
      </c>
      <c r="D4" s="63" t="s">
        <v>46</v>
      </c>
      <c r="E4" s="63" t="s">
        <v>48</v>
      </c>
      <c r="F4" s="63" t="s">
        <v>47</v>
      </c>
    </row>
    <row r="5" spans="1:6" ht="12" customHeight="1" x14ac:dyDescent="0.2">
      <c r="A5" s="7" t="s">
        <v>29</v>
      </c>
      <c r="B5" s="2">
        <v>0</v>
      </c>
      <c r="C5" s="2">
        <v>0</v>
      </c>
      <c r="D5" s="38">
        <f>C5-B5</f>
        <v>0</v>
      </c>
      <c r="E5" s="4">
        <v>0.1</v>
      </c>
      <c r="F5" s="38">
        <f>E5*D5</f>
        <v>0</v>
      </c>
    </row>
    <row r="6" spans="1:6" ht="12" customHeight="1" x14ac:dyDescent="0.2">
      <c r="A6" s="7" t="s">
        <v>30</v>
      </c>
      <c r="B6" s="2">
        <v>0</v>
      </c>
      <c r="C6" s="2">
        <f>B6</f>
        <v>0</v>
      </c>
      <c r="D6" s="38">
        <f>C6-B6</f>
        <v>0</v>
      </c>
      <c r="E6" s="4">
        <v>0.2</v>
      </c>
      <c r="F6" s="38">
        <f>E6*D6</f>
        <v>0</v>
      </c>
    </row>
    <row r="7" spans="1:6" ht="12" customHeight="1" x14ac:dyDescent="0.2">
      <c r="A7" s="7" t="s">
        <v>31</v>
      </c>
      <c r="B7" s="2">
        <v>0</v>
      </c>
      <c r="C7" s="2">
        <f>B7</f>
        <v>0</v>
      </c>
      <c r="D7" s="38">
        <f>C7-B7</f>
        <v>0</v>
      </c>
      <c r="E7" s="4">
        <v>0.2</v>
      </c>
      <c r="F7" s="38">
        <f>E7*D7</f>
        <v>0</v>
      </c>
    </row>
    <row r="8" spans="1:6" ht="12" customHeight="1" x14ac:dyDescent="0.2">
      <c r="A8" s="7" t="s">
        <v>32</v>
      </c>
      <c r="B8" s="2">
        <v>0</v>
      </c>
      <c r="C8" s="38">
        <f>B8</f>
        <v>0</v>
      </c>
    </row>
    <row r="9" spans="1:6" ht="12" customHeight="1" x14ac:dyDescent="0.2">
      <c r="A9" s="7" t="s">
        <v>33</v>
      </c>
      <c r="B9" s="2">
        <v>0</v>
      </c>
      <c r="C9" s="38">
        <f>B9</f>
        <v>0</v>
      </c>
    </row>
    <row r="10" spans="1:6" ht="12" customHeight="1" x14ac:dyDescent="0.2">
      <c r="A10" s="7" t="s">
        <v>42</v>
      </c>
      <c r="B10" s="2">
        <v>0</v>
      </c>
      <c r="C10" s="38">
        <f>B10</f>
        <v>0</v>
      </c>
    </row>
    <row r="11" spans="1:6" ht="12" customHeight="1" x14ac:dyDescent="0.2">
      <c r="A11" s="7" t="s">
        <v>27</v>
      </c>
      <c r="B11" s="2">
        <v>0</v>
      </c>
      <c r="C11" s="2">
        <v>0</v>
      </c>
      <c r="D11" s="38">
        <f>C11-B11</f>
        <v>0</v>
      </c>
      <c r="E11" s="4">
        <v>0.15</v>
      </c>
      <c r="F11" s="38">
        <f>E11*D11</f>
        <v>0</v>
      </c>
    </row>
    <row r="12" spans="1:6" ht="12" customHeight="1" x14ac:dyDescent="0.2">
      <c r="A12" s="7" t="s">
        <v>34</v>
      </c>
      <c r="B12" s="6">
        <v>0</v>
      </c>
      <c r="C12" s="6">
        <f>B12</f>
        <v>0</v>
      </c>
      <c r="D12" s="48">
        <f>C12-B12</f>
        <v>0</v>
      </c>
      <c r="E12" s="4">
        <v>0.2</v>
      </c>
      <c r="F12" s="48">
        <f>E12*D12</f>
        <v>0</v>
      </c>
    </row>
    <row r="13" spans="1:6" ht="12" customHeight="1" x14ac:dyDescent="0.2">
      <c r="A13" s="7" t="s">
        <v>44</v>
      </c>
      <c r="B13" s="38">
        <f>SUM(B5:B12)</f>
        <v>0</v>
      </c>
      <c r="C13" s="38">
        <f>SUM(C5:C12)</f>
        <v>0</v>
      </c>
      <c r="D13" s="38">
        <f>SUM(D5:D12)</f>
        <v>0</v>
      </c>
      <c r="E13" s="39"/>
      <c r="F13" s="38">
        <f>SUM(F5:F12)</f>
        <v>0</v>
      </c>
    </row>
    <row r="14" spans="1:6" ht="12" customHeight="1" x14ac:dyDescent="0.2"/>
    <row r="15" spans="1:6" ht="12" customHeight="1" x14ac:dyDescent="0.2">
      <c r="A15" s="51" t="s">
        <v>35</v>
      </c>
    </row>
    <row r="16" spans="1:6" ht="12" customHeight="1" x14ac:dyDescent="0.2">
      <c r="A16" s="7" t="s">
        <v>36</v>
      </c>
      <c r="B16" s="38">
        <f>B13-SUM(B17:B22)</f>
        <v>0</v>
      </c>
      <c r="C16" s="38">
        <f>C13-SUM(C17:C22)</f>
        <v>0</v>
      </c>
    </row>
    <row r="17" spans="1:6" ht="12" customHeight="1" x14ac:dyDescent="0.2">
      <c r="A17" s="7" t="s">
        <v>37</v>
      </c>
      <c r="B17" s="2">
        <v>0</v>
      </c>
      <c r="C17" s="38">
        <f t="shared" ref="C17:C22" si="0">B17</f>
        <v>0</v>
      </c>
    </row>
    <row r="18" spans="1:6" ht="12" customHeight="1" x14ac:dyDescent="0.2">
      <c r="A18" s="7" t="s">
        <v>39</v>
      </c>
      <c r="B18" s="2">
        <v>0</v>
      </c>
      <c r="C18" s="38">
        <f t="shared" si="0"/>
        <v>0</v>
      </c>
      <c r="E18" s="4">
        <v>0.1</v>
      </c>
      <c r="F18" s="38">
        <f>C18*E18</f>
        <v>0</v>
      </c>
    </row>
    <row r="19" spans="1:6" ht="12" customHeight="1" x14ac:dyDescent="0.2">
      <c r="A19" s="7" t="s">
        <v>40</v>
      </c>
      <c r="B19" s="2">
        <v>0</v>
      </c>
      <c r="C19" s="38">
        <f t="shared" si="0"/>
        <v>0</v>
      </c>
    </row>
    <row r="20" spans="1:6" ht="12" customHeight="1" x14ac:dyDescent="0.2">
      <c r="A20" s="7" t="s">
        <v>38</v>
      </c>
      <c r="B20" s="2">
        <v>0</v>
      </c>
      <c r="C20" s="38">
        <f t="shared" si="0"/>
        <v>0</v>
      </c>
    </row>
    <row r="21" spans="1:6" ht="12" customHeight="1" x14ac:dyDescent="0.2">
      <c r="A21" s="7" t="s">
        <v>42</v>
      </c>
      <c r="B21" s="2">
        <v>0</v>
      </c>
      <c r="C21" s="38">
        <f t="shared" si="0"/>
        <v>0</v>
      </c>
    </row>
    <row r="22" spans="1:6" ht="12" customHeight="1" x14ac:dyDescent="0.2">
      <c r="A22" s="7" t="s">
        <v>41</v>
      </c>
      <c r="B22" s="6">
        <v>0</v>
      </c>
      <c r="C22" s="48">
        <f t="shared" si="0"/>
        <v>0</v>
      </c>
    </row>
    <row r="23" spans="1:6" ht="12" customHeight="1" x14ac:dyDescent="0.2">
      <c r="A23" s="7" t="s">
        <v>44</v>
      </c>
      <c r="B23" s="38">
        <f>SUM(B16:B22)</f>
        <v>0</v>
      </c>
      <c r="C23" s="38">
        <f>SUM(C16:C22)</f>
        <v>0</v>
      </c>
    </row>
    <row r="24" spans="1:6" ht="12" customHeight="1" x14ac:dyDescent="0.2"/>
    <row r="25" spans="1:6" ht="12" customHeight="1" x14ac:dyDescent="0.2">
      <c r="A25" s="7" t="s">
        <v>284</v>
      </c>
      <c r="B25" s="2">
        <v>0</v>
      </c>
    </row>
    <row r="26" spans="1:6" ht="12" customHeight="1" x14ac:dyDescent="0.2"/>
    <row r="27" spans="1:6" ht="12" customHeight="1" x14ac:dyDescent="0.2">
      <c r="A27" s="7" t="s">
        <v>49</v>
      </c>
      <c r="B27" s="2">
        <v>0</v>
      </c>
    </row>
    <row r="28" spans="1:6" ht="12" customHeight="1" x14ac:dyDescent="0.2">
      <c r="A28" s="7" t="s">
        <v>342</v>
      </c>
      <c r="B28" s="6"/>
      <c r="C28" s="64" t="str">
        <f>IF(B28&gt;D28,"Let op maximum!","Maximum")</f>
        <v>Maximum</v>
      </c>
      <c r="D28" s="41">
        <f>MIN(30000,5%*C46)</f>
        <v>0</v>
      </c>
    </row>
    <row r="29" spans="1:6" ht="12" customHeight="1" x14ac:dyDescent="0.2">
      <c r="A29" s="7" t="s">
        <v>53</v>
      </c>
      <c r="B29" s="38">
        <f>B27+B28</f>
        <v>0</v>
      </c>
      <c r="D29" s="38"/>
    </row>
    <row r="30" spans="1:6" ht="12" customHeight="1" x14ac:dyDescent="0.2">
      <c r="B30" s="38"/>
      <c r="D30" s="38"/>
    </row>
    <row r="31" spans="1:6" ht="12" customHeight="1" x14ac:dyDescent="0.2">
      <c r="A31" s="7" t="s">
        <v>158</v>
      </c>
      <c r="B31" s="38"/>
      <c r="D31" s="38"/>
    </row>
    <row r="32" spans="1:6" ht="12" customHeight="1" x14ac:dyDescent="0.2"/>
    <row r="33" spans="1:3" ht="12" customHeight="1" x14ac:dyDescent="0.2">
      <c r="A33" s="8" t="s">
        <v>285</v>
      </c>
    </row>
    <row r="34" spans="1:3" ht="12" customHeight="1" x14ac:dyDescent="0.2">
      <c r="A34" s="35" t="s">
        <v>28</v>
      </c>
      <c r="B34" s="63" t="s">
        <v>45</v>
      </c>
      <c r="C34" s="63" t="s">
        <v>50</v>
      </c>
    </row>
    <row r="35" spans="1:3" ht="12" customHeight="1" x14ac:dyDescent="0.2">
      <c r="A35" s="7" t="s">
        <v>29</v>
      </c>
      <c r="B35" s="38">
        <f>B5</f>
        <v>0</v>
      </c>
      <c r="C35" s="38">
        <f>C5</f>
        <v>0</v>
      </c>
    </row>
    <row r="36" spans="1:3" ht="12" customHeight="1" x14ac:dyDescent="0.2">
      <c r="A36" s="7" t="s">
        <v>30</v>
      </c>
      <c r="B36" s="38">
        <f t="shared" ref="B36:C42" si="1">B6</f>
        <v>0</v>
      </c>
      <c r="C36" s="38">
        <f t="shared" si="1"/>
        <v>0</v>
      </c>
    </row>
    <row r="37" spans="1:3" ht="12" customHeight="1" x14ac:dyDescent="0.2">
      <c r="A37" s="7" t="s">
        <v>31</v>
      </c>
      <c r="B37" s="38">
        <f t="shared" si="1"/>
        <v>0</v>
      </c>
      <c r="C37" s="38">
        <f t="shared" si="1"/>
        <v>0</v>
      </c>
    </row>
    <row r="38" spans="1:3" ht="12" customHeight="1" x14ac:dyDescent="0.2">
      <c r="A38" s="7" t="s">
        <v>32</v>
      </c>
      <c r="B38" s="38">
        <f t="shared" si="1"/>
        <v>0</v>
      </c>
      <c r="C38" s="38">
        <f t="shared" si="1"/>
        <v>0</v>
      </c>
    </row>
    <row r="39" spans="1:3" ht="12" customHeight="1" x14ac:dyDescent="0.2">
      <c r="A39" s="7" t="s">
        <v>33</v>
      </c>
      <c r="B39" s="38">
        <f t="shared" si="1"/>
        <v>0</v>
      </c>
      <c r="C39" s="38">
        <f t="shared" si="1"/>
        <v>0</v>
      </c>
    </row>
    <row r="40" spans="1:3" ht="12" customHeight="1" x14ac:dyDescent="0.2">
      <c r="A40" s="7" t="s">
        <v>42</v>
      </c>
      <c r="B40" s="38">
        <f t="shared" si="1"/>
        <v>0</v>
      </c>
      <c r="C40" s="38">
        <f t="shared" si="1"/>
        <v>0</v>
      </c>
    </row>
    <row r="41" spans="1:3" ht="12" customHeight="1" x14ac:dyDescent="0.2">
      <c r="A41" s="7" t="s">
        <v>27</v>
      </c>
      <c r="B41" s="38">
        <f t="shared" si="1"/>
        <v>0</v>
      </c>
      <c r="C41" s="38">
        <f t="shared" si="1"/>
        <v>0</v>
      </c>
    </row>
    <row r="42" spans="1:3" ht="12" customHeight="1" x14ac:dyDescent="0.2">
      <c r="A42" s="7" t="s">
        <v>34</v>
      </c>
      <c r="B42" s="48">
        <f t="shared" si="1"/>
        <v>0</v>
      </c>
      <c r="C42" s="48">
        <f t="shared" si="1"/>
        <v>0</v>
      </c>
    </row>
    <row r="43" spans="1:3" ht="12" customHeight="1" x14ac:dyDescent="0.2">
      <c r="A43" s="7" t="s">
        <v>44</v>
      </c>
      <c r="B43" s="38">
        <f>SUM(B35:B42)</f>
        <v>0</v>
      </c>
      <c r="C43" s="38">
        <f>SUM(C35:C42)</f>
        <v>0</v>
      </c>
    </row>
    <row r="44" spans="1:3" ht="12" customHeight="1" x14ac:dyDescent="0.2"/>
    <row r="45" spans="1:3" ht="12" customHeight="1" x14ac:dyDescent="0.2">
      <c r="A45" s="51" t="s">
        <v>35</v>
      </c>
    </row>
    <row r="46" spans="1:3" ht="12" customHeight="1" x14ac:dyDescent="0.2">
      <c r="A46" s="7" t="s">
        <v>56</v>
      </c>
      <c r="C46" s="38">
        <f>C43-SUM(C49:C55)</f>
        <v>0</v>
      </c>
    </row>
    <row r="47" spans="1:3" ht="12" customHeight="1" x14ac:dyDescent="0.2">
      <c r="A47" s="7" t="s">
        <v>57</v>
      </c>
      <c r="B47" s="38">
        <f>B43-SUM(B48:B54)</f>
        <v>0</v>
      </c>
    </row>
    <row r="48" spans="1:3" ht="12" customHeight="1" x14ac:dyDescent="0.2">
      <c r="A48" s="7" t="s">
        <v>39</v>
      </c>
      <c r="B48" s="38">
        <f>B18</f>
        <v>0</v>
      </c>
    </row>
    <row r="49" spans="1:3" ht="12" customHeight="1" x14ac:dyDescent="0.2">
      <c r="A49" s="7" t="s">
        <v>40</v>
      </c>
      <c r="B49" s="38">
        <f>B19</f>
        <v>0</v>
      </c>
      <c r="C49" s="38">
        <f t="shared" ref="C49:C54" si="2">B49</f>
        <v>0</v>
      </c>
    </row>
    <row r="50" spans="1:3" ht="12" customHeight="1" x14ac:dyDescent="0.2">
      <c r="A50" s="7" t="s">
        <v>38</v>
      </c>
      <c r="B50" s="38">
        <f>B20</f>
        <v>0</v>
      </c>
      <c r="C50" s="38">
        <f t="shared" si="2"/>
        <v>0</v>
      </c>
    </row>
    <row r="51" spans="1:3" ht="12" customHeight="1" x14ac:dyDescent="0.2">
      <c r="A51" s="7" t="s">
        <v>42</v>
      </c>
      <c r="B51" s="38">
        <f>B21</f>
        <v>0</v>
      </c>
      <c r="C51" s="38">
        <f t="shared" si="2"/>
        <v>0</v>
      </c>
    </row>
    <row r="52" spans="1:3" ht="12" customHeight="1" x14ac:dyDescent="0.2">
      <c r="A52" s="7" t="s">
        <v>51</v>
      </c>
      <c r="B52" s="38">
        <f>B25</f>
        <v>0</v>
      </c>
      <c r="C52" s="38">
        <f t="shared" si="2"/>
        <v>0</v>
      </c>
    </row>
    <row r="53" spans="1:3" ht="12" customHeight="1" x14ac:dyDescent="0.2">
      <c r="A53" s="7" t="s">
        <v>52</v>
      </c>
      <c r="B53" s="38">
        <f>B29</f>
        <v>0</v>
      </c>
      <c r="C53" s="38">
        <f t="shared" si="2"/>
        <v>0</v>
      </c>
    </row>
    <row r="54" spans="1:3" ht="12" customHeight="1" x14ac:dyDescent="0.2">
      <c r="A54" s="7" t="s">
        <v>41</v>
      </c>
      <c r="B54" s="38">
        <f>B22</f>
        <v>0</v>
      </c>
      <c r="C54" s="38">
        <f t="shared" si="2"/>
        <v>0</v>
      </c>
    </row>
    <row r="55" spans="1:3" ht="12" customHeight="1" x14ac:dyDescent="0.2">
      <c r="A55" s="7" t="s">
        <v>54</v>
      </c>
      <c r="B55" s="65"/>
      <c r="C55" s="48">
        <f>F13+F18</f>
        <v>0</v>
      </c>
    </row>
    <row r="56" spans="1:3" ht="12" customHeight="1" x14ac:dyDescent="0.2">
      <c r="A56" s="7" t="s">
        <v>44</v>
      </c>
      <c r="B56" s="38">
        <f>SUM(B47:B54)</f>
        <v>0</v>
      </c>
      <c r="C56" s="38">
        <f>SUM(C46:C55)</f>
        <v>0</v>
      </c>
    </row>
    <row r="57" spans="1:3" ht="12" customHeight="1" x14ac:dyDescent="0.2">
      <c r="B57" s="38"/>
      <c r="C57" s="38"/>
    </row>
    <row r="58" spans="1:3" ht="12" customHeight="1" x14ac:dyDescent="0.2">
      <c r="B58" s="38"/>
      <c r="C58" s="38"/>
    </row>
    <row r="59" spans="1:3" ht="12" customHeight="1" x14ac:dyDescent="0.2">
      <c r="A59" s="35" t="s">
        <v>58</v>
      </c>
      <c r="B59" s="66"/>
      <c r="C59" s="66"/>
    </row>
    <row r="60" spans="1:3" ht="12" customHeight="1" x14ac:dyDescent="0.2">
      <c r="A60" s="7" t="s">
        <v>36</v>
      </c>
      <c r="C60" s="38">
        <f>B16+B17-B25</f>
        <v>0</v>
      </c>
    </row>
    <row r="61" spans="1:3" ht="12" customHeight="1" x14ac:dyDescent="0.2">
      <c r="A61" s="7" t="s">
        <v>59</v>
      </c>
      <c r="C61" s="38">
        <f>B53</f>
        <v>0</v>
      </c>
    </row>
    <row r="62" spans="1:3" ht="12" customHeight="1" x14ac:dyDescent="0.2">
      <c r="A62" s="7" t="s">
        <v>143</v>
      </c>
      <c r="C62" s="20"/>
    </row>
    <row r="63" spans="1:3" ht="12" customHeight="1" x14ac:dyDescent="0.2">
      <c r="A63" s="7" t="s">
        <v>60</v>
      </c>
      <c r="C63" s="38">
        <f>C60-C61+C62</f>
        <v>0</v>
      </c>
    </row>
    <row r="64" spans="1:3" x14ac:dyDescent="0.2"/>
    <row r="65" x14ac:dyDescent="0.2"/>
  </sheetData>
  <sheetProtection sheet="1" objects="1" scenarios="1"/>
  <phoneticPr fontId="0" type="noConversion"/>
  <pageMargins left="0.75" right="0.75" top="1" bottom="1" header="0.5" footer="0.5"/>
  <pageSetup paperSize="9" orientation="landscape" r:id="rId1"/>
  <headerFooter alignWithMargins="0"/>
  <rowBreaks count="1" manualBreakCount="1">
    <brk id="31" max="16383"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3"/>
  <dimension ref="A1:E45"/>
  <sheetViews>
    <sheetView showGridLines="0" zoomScaleNormal="100" workbookViewId="0">
      <selection activeCell="B3" sqref="B3"/>
    </sheetView>
  </sheetViews>
  <sheetFormatPr defaultColWidth="0" defaultRowHeight="11.25" zeroHeight="1" x14ac:dyDescent="0.2"/>
  <cols>
    <col min="1" max="1" width="29.5703125" style="7" customWidth="1"/>
    <col min="2" max="2" width="10.5703125" style="7" customWidth="1"/>
    <col min="3" max="3" width="8.7109375" style="7" customWidth="1"/>
    <col min="4" max="4" width="26.140625" style="7" customWidth="1"/>
    <col min="5" max="5" width="10.28515625" style="7" customWidth="1"/>
    <col min="6" max="16384" width="9" style="7" hidden="1"/>
  </cols>
  <sheetData>
    <row r="1" spans="1:5" s="25" customFormat="1" ht="18" customHeight="1" x14ac:dyDescent="0.2">
      <c r="A1" s="85" t="str">
        <f>"Art. 14 VPB-fusie na geruisloze inbreng vanuit twee personal holdings - " &amp; versie</f>
        <v>Art. 14 VPB-fusie na geruisloze inbreng vanuit twee personal holdings - v20260304</v>
      </c>
      <c r="B1" s="85"/>
      <c r="C1" s="85"/>
      <c r="D1" s="85"/>
      <c r="E1" s="85"/>
    </row>
    <row r="2" spans="1:5" ht="12" customHeight="1" x14ac:dyDescent="0.2"/>
    <row r="3" spans="1:5" ht="12" customHeight="1" x14ac:dyDescent="0.2">
      <c r="A3" s="7" t="s">
        <v>225</v>
      </c>
      <c r="B3" s="81" t="s">
        <v>231</v>
      </c>
    </row>
    <row r="4" spans="1:5" ht="12" customHeight="1" x14ac:dyDescent="0.2">
      <c r="A4" s="7" t="s">
        <v>226</v>
      </c>
      <c r="B4" s="81" t="s">
        <v>232</v>
      </c>
    </row>
    <row r="5" spans="1:5" s="8" customFormat="1" ht="12" customHeight="1" x14ac:dyDescent="0.2"/>
    <row r="6" spans="1:5" ht="12" customHeight="1" x14ac:dyDescent="0.2">
      <c r="A6" s="8" t="s">
        <v>224</v>
      </c>
      <c r="B6" s="38"/>
    </row>
    <row r="7" spans="1:5" ht="12" customHeight="1" x14ac:dyDescent="0.2">
      <c r="A7" s="7" t="str">
        <f>"Kapitaalrekening "&amp;B3&amp;" in firma"</f>
        <v>Kapitaalrekening A in firma</v>
      </c>
      <c r="B7" s="20">
        <v>0</v>
      </c>
    </row>
    <row r="8" spans="1:5" ht="12" customHeight="1" x14ac:dyDescent="0.2">
      <c r="A8" s="7" t="str">
        <f>"Kapitaalrekening "&amp;B4&amp;" in firma"</f>
        <v>Kapitaalrekening B in firma</v>
      </c>
      <c r="B8" s="20">
        <v>0</v>
      </c>
    </row>
    <row r="9" spans="1:5" ht="12" customHeight="1" x14ac:dyDescent="0.2">
      <c r="A9" s="7" t="s">
        <v>220</v>
      </c>
      <c r="B9" s="20">
        <v>0</v>
      </c>
    </row>
    <row r="10" spans="1:5" ht="12" customHeight="1" x14ac:dyDescent="0.2">
      <c r="A10" s="7" t="s">
        <v>181</v>
      </c>
      <c r="B10" s="20">
        <v>0</v>
      </c>
    </row>
    <row r="11" spans="1:5" ht="12" customHeight="1" x14ac:dyDescent="0.2">
      <c r="A11" s="7" t="s">
        <v>233</v>
      </c>
      <c r="B11" s="38">
        <f>SUM(B7:B9)-B10</f>
        <v>0</v>
      </c>
    </row>
    <row r="12" spans="1:5" ht="12" customHeight="1" x14ac:dyDescent="0.2">
      <c r="A12" s="7" t="str">
        <f>"Winstaandeel "&amp;B3</f>
        <v>Winstaandeel A</v>
      </c>
      <c r="B12" s="82">
        <v>0.5</v>
      </c>
    </row>
    <row r="13" spans="1:5" ht="12" customHeight="1" x14ac:dyDescent="0.2">
      <c r="A13" s="7" t="str">
        <f>"Winstaandeel "&amp;B4</f>
        <v>Winstaandeel B</v>
      </c>
      <c r="B13" s="39">
        <f>1-B12</f>
        <v>0.5</v>
      </c>
    </row>
    <row r="14" spans="1:5" ht="12" customHeight="1" x14ac:dyDescent="0.2">
      <c r="A14" s="7" t="str">
        <f>"Kapitaal + creditering PH "&amp;B3</f>
        <v>Kapitaal + creditering PH A</v>
      </c>
      <c r="B14" s="38">
        <f>B7+B12*B9-B12*B10</f>
        <v>0</v>
      </c>
    </row>
    <row r="15" spans="1:5" ht="12" customHeight="1" x14ac:dyDescent="0.2">
      <c r="A15" s="7" t="str">
        <f>"Kapitaal + creditering PH "&amp;B4</f>
        <v>Kapitaal + creditering PH B</v>
      </c>
      <c r="B15" s="38">
        <f>B8+B13*B9-B13*B10</f>
        <v>0</v>
      </c>
    </row>
    <row r="16" spans="1:5" ht="12" customHeight="1" x14ac:dyDescent="0.2">
      <c r="A16" s="7" t="str">
        <f>"Creditering werkmij PH "&amp;B3</f>
        <v>Creditering werkmij PH A</v>
      </c>
      <c r="B16" s="20">
        <v>0</v>
      </c>
    </row>
    <row r="17" spans="1:5" ht="12" customHeight="1" x14ac:dyDescent="0.2">
      <c r="A17" s="7" t="str">
        <f>"Creditering werkmij PH "&amp;B4</f>
        <v>Creditering werkmij PH B</v>
      </c>
      <c r="B17" s="20">
        <v>0</v>
      </c>
    </row>
    <row r="18" spans="1:5" ht="12" customHeight="1" x14ac:dyDescent="0.2">
      <c r="A18" s="7" t="str">
        <f>"Deelneming PH "&amp;B3</f>
        <v>Deelneming PH A</v>
      </c>
      <c r="B18" s="38">
        <f>B14-B16</f>
        <v>0</v>
      </c>
    </row>
    <row r="19" spans="1:5" ht="12" customHeight="1" x14ac:dyDescent="0.2">
      <c r="A19" s="7" t="str">
        <f>"Deelneming PH "&amp;B4</f>
        <v>Deelneming PH B</v>
      </c>
      <c r="B19" s="38">
        <f>B15-B17</f>
        <v>0</v>
      </c>
    </row>
    <row r="20" spans="1:5" ht="12" customHeight="1" x14ac:dyDescent="0.2">
      <c r="A20" s="7" t="s">
        <v>221</v>
      </c>
      <c r="B20" s="38">
        <f>B18+B19</f>
        <v>0</v>
      </c>
    </row>
    <row r="21" spans="1:5" ht="12" customHeight="1" x14ac:dyDescent="0.2">
      <c r="A21" s="7" t="str">
        <f>"Gewoon aandelenkapitaal PH "&amp;B3</f>
        <v>Gewoon aandelenkapitaal PH A</v>
      </c>
      <c r="B21" s="38">
        <f>MIN(B18,IF(B19&lt;B20,B19*B12/B13,B18))</f>
        <v>0</v>
      </c>
      <c r="C21" s="67">
        <f>IF((B21+B22)&gt;0,B21/(B21+B22),0)</f>
        <v>0</v>
      </c>
    </row>
    <row r="22" spans="1:5" ht="12" customHeight="1" x14ac:dyDescent="0.2">
      <c r="A22" s="7" t="str">
        <f>"Gewoon aandelenkapitaal PH "&amp;B4</f>
        <v>Gewoon aandelenkapitaal PH B</v>
      </c>
      <c r="B22" s="38">
        <f>B13/B12*B21</f>
        <v>0</v>
      </c>
      <c r="C22" s="67">
        <f>IF((B21+B22)&gt;0,B22/(B21+B22),0)</f>
        <v>0</v>
      </c>
    </row>
    <row r="23" spans="1:5" ht="12" customHeight="1" x14ac:dyDescent="0.2">
      <c r="A23" s="7" t="str">
        <f>"Preferent aandelenkapitaal PH "&amp;B3</f>
        <v>Preferent aandelenkapitaal PH A</v>
      </c>
      <c r="B23" s="38">
        <f>MAX(0,B18-B21)</f>
        <v>0</v>
      </c>
    </row>
    <row r="24" spans="1:5" ht="12" customHeight="1" x14ac:dyDescent="0.2">
      <c r="A24" s="7" t="str">
        <f>"Preferent aandelenkapitaal PH "&amp;B4</f>
        <v>Preferent aandelenkapitaal PH B</v>
      </c>
      <c r="B24" s="38">
        <f>MAX(0,B19-B22)</f>
        <v>0</v>
      </c>
    </row>
    <row r="25" spans="1:5" ht="12" customHeight="1" x14ac:dyDescent="0.2">
      <c r="A25" s="7" t="s">
        <v>221</v>
      </c>
      <c r="B25" s="38">
        <f>SUM(B21:B24)</f>
        <v>0</v>
      </c>
      <c r="D25" s="8" t="str">
        <f>"Balans personal holding "&amp;B3</f>
        <v>Balans personal holding A</v>
      </c>
    </row>
    <row r="26" spans="1:5" ht="12" customHeight="1" x14ac:dyDescent="0.2">
      <c r="B26" s="38"/>
      <c r="D26" s="7" t="s">
        <v>229</v>
      </c>
      <c r="E26" s="38">
        <f>B21+B23</f>
        <v>0</v>
      </c>
    </row>
    <row r="27" spans="1:5" ht="12" customHeight="1" x14ac:dyDescent="0.2">
      <c r="A27" s="8" t="s">
        <v>227</v>
      </c>
      <c r="B27" s="38">
        <f>MIN(4500,1%*(B14+B15))</f>
        <v>0</v>
      </c>
      <c r="D27" s="7" t="s">
        <v>180</v>
      </c>
      <c r="E27" s="83">
        <f>B16</f>
        <v>0</v>
      </c>
    </row>
    <row r="28" spans="1:5" ht="12" customHeight="1" x14ac:dyDescent="0.2">
      <c r="A28" s="7" t="s">
        <v>228</v>
      </c>
      <c r="B28" s="68" t="str">
        <f>IF(B16+B17&lt;=B27,"ja","nee")</f>
        <v>ja</v>
      </c>
      <c r="D28" s="7" t="s">
        <v>44</v>
      </c>
      <c r="E28" s="38">
        <f>SUM(E26:E27)</f>
        <v>0</v>
      </c>
    </row>
    <row r="29" spans="1:5" ht="12" customHeight="1" x14ac:dyDescent="0.2">
      <c r="B29" s="38"/>
      <c r="E29" s="38"/>
    </row>
    <row r="30" spans="1:5" ht="12" customHeight="1" x14ac:dyDescent="0.2">
      <c r="A30" s="8" t="s">
        <v>182</v>
      </c>
      <c r="B30" s="38"/>
      <c r="D30" s="7" t="s">
        <v>178</v>
      </c>
      <c r="E30" s="38">
        <f>E26+E27-E31-E32</f>
        <v>0</v>
      </c>
    </row>
    <row r="31" spans="1:5" ht="12" customHeight="1" x14ac:dyDescent="0.2">
      <c r="A31" s="7" t="s">
        <v>28</v>
      </c>
      <c r="B31" s="38">
        <f>SUM(B7:B9)</f>
        <v>0</v>
      </c>
      <c r="D31" s="7" t="s">
        <v>230</v>
      </c>
      <c r="E31" s="20">
        <v>0</v>
      </c>
    </row>
    <row r="32" spans="1:5" ht="12" customHeight="1" x14ac:dyDescent="0.2">
      <c r="D32" s="7" t="s">
        <v>51</v>
      </c>
      <c r="E32" s="84">
        <v>0</v>
      </c>
    </row>
    <row r="33" spans="1:5" ht="12" customHeight="1" x14ac:dyDescent="0.2">
      <c r="A33" s="7" t="s">
        <v>222</v>
      </c>
      <c r="B33" s="38">
        <f>B21+B22+B23+B24</f>
        <v>0</v>
      </c>
      <c r="D33" s="7" t="s">
        <v>44</v>
      </c>
      <c r="E33" s="38">
        <f>SUM(E30:E32)</f>
        <v>0</v>
      </c>
    </row>
    <row r="34" spans="1:5" ht="12" customHeight="1" x14ac:dyDescent="0.2">
      <c r="A34" s="7" t="s">
        <v>179</v>
      </c>
      <c r="B34" s="38">
        <f>B16+B17</f>
        <v>0</v>
      </c>
      <c r="E34" s="38"/>
    </row>
    <row r="35" spans="1:5" ht="12" customHeight="1" x14ac:dyDescent="0.2">
      <c r="A35" s="7" t="s">
        <v>181</v>
      </c>
      <c r="B35" s="48">
        <f>B10</f>
        <v>0</v>
      </c>
      <c r="D35" s="8" t="str">
        <f>"Balans personal holding "&amp;B4</f>
        <v>Balans personal holding B</v>
      </c>
      <c r="E35" s="38"/>
    </row>
    <row r="36" spans="1:5" ht="12" customHeight="1" x14ac:dyDescent="0.2">
      <c r="A36" s="7" t="s">
        <v>44</v>
      </c>
      <c r="B36" s="38">
        <f>SUM(B33:B35)</f>
        <v>0</v>
      </c>
      <c r="D36" s="7" t="s">
        <v>229</v>
      </c>
      <c r="E36" s="38">
        <f>B22+B24</f>
        <v>0</v>
      </c>
    </row>
    <row r="37" spans="1:5" ht="12" customHeight="1" x14ac:dyDescent="0.2">
      <c r="D37" s="7" t="s">
        <v>180</v>
      </c>
      <c r="E37" s="48">
        <f>B17</f>
        <v>0</v>
      </c>
    </row>
    <row r="38" spans="1:5" ht="12" customHeight="1" x14ac:dyDescent="0.2">
      <c r="A38" s="8" t="s">
        <v>183</v>
      </c>
      <c r="D38" s="7" t="s">
        <v>44</v>
      </c>
      <c r="E38" s="38">
        <f>SUM(E36:E37)</f>
        <v>0</v>
      </c>
    </row>
    <row r="39" spans="1:5" ht="12" customHeight="1" x14ac:dyDescent="0.2">
      <c r="A39" s="7" t="s">
        <v>28</v>
      </c>
      <c r="B39" s="38">
        <f>B7+B8</f>
        <v>0</v>
      </c>
    </row>
    <row r="40" spans="1:5" ht="12" customHeight="1" x14ac:dyDescent="0.2">
      <c r="D40" s="7" t="s">
        <v>178</v>
      </c>
      <c r="E40" s="38">
        <f>E36+E37-E41-E42</f>
        <v>0</v>
      </c>
    </row>
    <row r="41" spans="1:5" ht="12" customHeight="1" x14ac:dyDescent="0.2">
      <c r="A41" s="7" t="s">
        <v>223</v>
      </c>
      <c r="B41" s="38">
        <f>B39-B42</f>
        <v>0</v>
      </c>
      <c r="D41" s="7" t="s">
        <v>230</v>
      </c>
      <c r="E41" s="20">
        <v>0</v>
      </c>
    </row>
    <row r="42" spans="1:5" ht="12" customHeight="1" x14ac:dyDescent="0.2">
      <c r="A42" s="7" t="s">
        <v>179</v>
      </c>
      <c r="B42" s="48">
        <f>B34</f>
        <v>0</v>
      </c>
      <c r="D42" s="7" t="s">
        <v>51</v>
      </c>
      <c r="E42" s="84">
        <v>0</v>
      </c>
    </row>
    <row r="43" spans="1:5" ht="12" customHeight="1" x14ac:dyDescent="0.2">
      <c r="A43" s="7" t="s">
        <v>44</v>
      </c>
      <c r="B43" s="38">
        <f>B41+B42</f>
        <v>0</v>
      </c>
      <c r="D43" s="7" t="s">
        <v>44</v>
      </c>
      <c r="E43" s="38">
        <f>SUM(E40:E42)</f>
        <v>0</v>
      </c>
    </row>
    <row r="44" spans="1:5" x14ac:dyDescent="0.2"/>
    <row r="45" spans="1:5" x14ac:dyDescent="0.2"/>
  </sheetData>
  <sheetProtection sheet="1" objects="1" scenarios="1" autoFilter="0"/>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4"/>
  <dimension ref="A1:IU56"/>
  <sheetViews>
    <sheetView showGridLines="0" zoomScaleNormal="100" workbookViewId="0">
      <selection activeCell="C6" sqref="C6"/>
    </sheetView>
  </sheetViews>
  <sheetFormatPr defaultColWidth="0" defaultRowHeight="11.25" zeroHeight="1" x14ac:dyDescent="0.2"/>
  <cols>
    <col min="1" max="1" width="38.140625" style="7" customWidth="1"/>
    <col min="2" max="2" width="6.5703125" style="7" customWidth="1"/>
    <col min="3" max="3" width="11.42578125" style="7" customWidth="1"/>
    <col min="4" max="4" width="3.5703125" style="7" customWidth="1"/>
    <col min="5" max="255" width="8.85546875" style="7" hidden="1" customWidth="1"/>
    <col min="256" max="16384" width="20" style="7" hidden="1"/>
  </cols>
  <sheetData>
    <row r="1" spans="1:4" ht="18" customHeight="1" x14ac:dyDescent="0.2">
      <c r="A1" s="85" t="str">
        <f>"Firma met de BV - " &amp; versie</f>
        <v>Firma met de BV - v20260304</v>
      </c>
      <c r="B1" s="85"/>
      <c r="C1" s="89"/>
      <c r="D1" s="89"/>
    </row>
    <row r="2" spans="1:4" ht="12" customHeight="1" x14ac:dyDescent="0.2"/>
    <row r="3" spans="1:4" ht="12" customHeight="1" x14ac:dyDescent="0.2">
      <c r="A3" s="7" t="s">
        <v>96</v>
      </c>
      <c r="C3" s="1">
        <f>jaar</f>
        <v>2026</v>
      </c>
    </row>
    <row r="4" spans="1:4" ht="12" customHeight="1" x14ac:dyDescent="0.2">
      <c r="A4" s="7" t="s">
        <v>1</v>
      </c>
      <c r="C4" s="7">
        <f>'BV ja, BV nee'!B5</f>
        <v>40</v>
      </c>
    </row>
    <row r="5" spans="1:4" ht="12" customHeight="1" x14ac:dyDescent="0.2">
      <c r="A5" s="7" t="s">
        <v>2</v>
      </c>
      <c r="C5" s="7">
        <f>'BV ja, BV nee'!B6</f>
        <v>67</v>
      </c>
    </row>
    <row r="6" spans="1:4" ht="12" customHeight="1" x14ac:dyDescent="0.2">
      <c r="A6" s="7" t="s">
        <v>239</v>
      </c>
      <c r="C6" s="20">
        <v>2000</v>
      </c>
    </row>
    <row r="7" spans="1:4" ht="12" customHeight="1" x14ac:dyDescent="0.2">
      <c r="A7" s="36" t="s">
        <v>176</v>
      </c>
      <c r="B7" s="36"/>
      <c r="C7" s="2">
        <f>'BV ja, BV nee'!E9*1.2</f>
        <v>120000</v>
      </c>
    </row>
    <row r="8" spans="1:4" ht="12" customHeight="1" x14ac:dyDescent="0.2">
      <c r="A8" s="7" t="s">
        <v>98</v>
      </c>
      <c r="C8" s="68" t="str">
        <f>'BV ja, BV nee'!B8</f>
        <v>ja</v>
      </c>
    </row>
    <row r="9" spans="1:4" ht="12" customHeight="1" x14ac:dyDescent="0.2">
      <c r="A9" s="7" t="s">
        <v>102</v>
      </c>
      <c r="C9" s="68" t="str">
        <f>'BV ja, BV nee'!B9</f>
        <v>nee</v>
      </c>
    </row>
    <row r="10" spans="1:4" ht="12" customHeight="1" x14ac:dyDescent="0.2">
      <c r="C10" s="69"/>
    </row>
    <row r="11" spans="1:4" ht="12" customHeight="1" x14ac:dyDescent="0.2">
      <c r="A11" s="7" t="s">
        <v>97</v>
      </c>
      <c r="C11" s="38">
        <f>'BV ja, BV nee'!B10</f>
        <v>0</v>
      </c>
    </row>
    <row r="12" spans="1:4" ht="12" customHeight="1" x14ac:dyDescent="0.2">
      <c r="A12" s="7" t="s">
        <v>3</v>
      </c>
      <c r="C12" s="38">
        <f>'BV ja, BV nee'!B11</f>
        <v>0</v>
      </c>
    </row>
    <row r="13" spans="1:4" ht="12" customHeight="1" x14ac:dyDescent="0.2">
      <c r="A13" s="7" t="s">
        <v>4</v>
      </c>
      <c r="C13" s="37">
        <f>'BV ja, BV nee'!B12</f>
        <v>0.4</v>
      </c>
    </row>
    <row r="14" spans="1:4" ht="12" customHeight="1" x14ac:dyDescent="0.2">
      <c r="A14" s="7" t="s">
        <v>5</v>
      </c>
      <c r="C14" s="37">
        <f>'BV ja, BV nee'!B13</f>
        <v>1.7999999999999999E-2</v>
      </c>
    </row>
    <row r="15" spans="1:4" ht="12" customHeight="1" x14ac:dyDescent="0.2">
      <c r="A15" s="7" t="s">
        <v>6</v>
      </c>
      <c r="C15" s="38">
        <f>'BV ja, BV nee'!B14</f>
        <v>0</v>
      </c>
    </row>
    <row r="16" spans="1:4" ht="12" customHeight="1" x14ac:dyDescent="0.2">
      <c r="A16" s="7" t="s">
        <v>7</v>
      </c>
      <c r="C16" s="38">
        <f>'BV ja, BV nee'!B15</f>
        <v>0</v>
      </c>
    </row>
    <row r="17" spans="1:3" ht="12" customHeight="1" x14ac:dyDescent="0.2">
      <c r="C17" s="38"/>
    </row>
    <row r="18" spans="1:3" ht="12" customHeight="1" x14ac:dyDescent="0.2">
      <c r="A18" s="7" t="s">
        <v>268</v>
      </c>
      <c r="C18" s="20">
        <f>(WinstIB-C6)-C7</f>
        <v>78000</v>
      </c>
    </row>
    <row r="19" spans="1:3" ht="12" customHeight="1" x14ac:dyDescent="0.2">
      <c r="A19" s="7" t="s">
        <v>311</v>
      </c>
      <c r="C19" s="38">
        <v>0</v>
      </c>
    </row>
    <row r="20" spans="1:3" ht="12" customHeight="1" x14ac:dyDescent="0.2">
      <c r="A20" s="7" t="s">
        <v>0</v>
      </c>
      <c r="C20" s="3">
        <f>MAX(0,C5-C4)</f>
        <v>27</v>
      </c>
    </row>
    <row r="21" spans="1:3" ht="12" customHeight="1" x14ac:dyDescent="0.2">
      <c r="A21" s="7" t="s">
        <v>117</v>
      </c>
      <c r="C21" s="2">
        <f>dividendLevensonderhoud</f>
        <v>50000</v>
      </c>
    </row>
    <row r="22" spans="1:3" ht="12" customHeight="1" x14ac:dyDescent="0.2">
      <c r="A22" s="7" t="s">
        <v>312</v>
      </c>
      <c r="C22" s="30">
        <v>0.245</v>
      </c>
    </row>
    <row r="23" spans="1:3" ht="12" customHeight="1" x14ac:dyDescent="0.2">
      <c r="C23" s="38"/>
    </row>
    <row r="24" spans="1:3" ht="12" customHeight="1" x14ac:dyDescent="0.2">
      <c r="A24" s="35" t="s">
        <v>132</v>
      </c>
      <c r="B24" s="35"/>
      <c r="C24" s="9"/>
    </row>
    <row r="25" spans="1:3" ht="12" customHeight="1" x14ac:dyDescent="0.2">
      <c r="A25" s="7" t="s">
        <v>8</v>
      </c>
      <c r="C25" s="38">
        <f>C7</f>
        <v>120000</v>
      </c>
    </row>
    <row r="26" spans="1:3" ht="12" customHeight="1" x14ac:dyDescent="0.2">
      <c r="A26" s="7" t="s">
        <v>94</v>
      </c>
      <c r="C26" s="38">
        <f>-C11</f>
        <v>0</v>
      </c>
    </row>
    <row r="27" spans="1:3" ht="12" customHeight="1" x14ac:dyDescent="0.2">
      <c r="A27" s="7" t="s">
        <v>77</v>
      </c>
      <c r="C27" s="38">
        <f>IF(C7=0,0,IF(C8="ja",-Tabellen!D4)-IF(C9="ja",Tabellen!D5,0))</f>
        <v>-1200</v>
      </c>
    </row>
    <row r="28" spans="1:3" ht="12" customHeight="1" x14ac:dyDescent="0.2">
      <c r="A28" s="7" t="s">
        <v>78</v>
      </c>
      <c r="C28" s="38">
        <f>-C12</f>
        <v>0</v>
      </c>
    </row>
    <row r="29" spans="1:3" ht="12" customHeight="1" x14ac:dyDescent="0.2">
      <c r="A29" s="7" t="s">
        <v>91</v>
      </c>
      <c r="C29" s="40">
        <f>-mkbvrijst*(C7-C11-C12+C27)</f>
        <v>-15087.6</v>
      </c>
    </row>
    <row r="30" spans="1:3" ht="12" customHeight="1" x14ac:dyDescent="0.2">
      <c r="A30" s="7" t="s">
        <v>9</v>
      </c>
      <c r="C30" s="38">
        <f>'BV ja, BV nee'!B25</f>
        <v>0</v>
      </c>
    </row>
    <row r="31" spans="1:3" ht="12" customHeight="1" x14ac:dyDescent="0.2">
      <c r="A31" s="7" t="s">
        <v>75</v>
      </c>
      <c r="C31" s="38">
        <f>-C16</f>
        <v>0</v>
      </c>
    </row>
    <row r="32" spans="1:3" ht="12" customHeight="1" x14ac:dyDescent="0.2">
      <c r="A32" s="7" t="s">
        <v>211</v>
      </c>
      <c r="C32" s="2">
        <v>0</v>
      </c>
    </row>
    <row r="33" spans="1:3" ht="12" customHeight="1" x14ac:dyDescent="0.2">
      <c r="A33" s="7" t="s">
        <v>76</v>
      </c>
      <c r="C33" s="2">
        <v>0</v>
      </c>
    </row>
    <row r="34" spans="1:3" ht="12" customHeight="1" x14ac:dyDescent="0.2">
      <c r="A34" s="7" t="s">
        <v>92</v>
      </c>
      <c r="C34" s="6">
        <v>0</v>
      </c>
    </row>
    <row r="35" spans="1:3" ht="12" customHeight="1" x14ac:dyDescent="0.2">
      <c r="A35" s="7" t="s">
        <v>10</v>
      </c>
      <c r="C35" s="38">
        <f>SUM(C25:C34)</f>
        <v>103712.4</v>
      </c>
    </row>
    <row r="36" spans="1:3" ht="12" customHeight="1" x14ac:dyDescent="0.2"/>
    <row r="37" spans="1:3" ht="12" customHeight="1" x14ac:dyDescent="0.2">
      <c r="A37" s="7" t="s">
        <v>79</v>
      </c>
      <c r="C37" s="38">
        <f>MAX(0,VLOOKUP(C35,tabelIB,3)+VLOOKUP(C35,tabelIB,4)*(C35-VLOOKUP(C35,tabelIB,1)))</f>
        <v>41268.767999999996</v>
      </c>
    </row>
    <row r="38" spans="1:3" ht="12" customHeight="1" x14ac:dyDescent="0.2">
      <c r="A38" s="7" t="s">
        <v>177</v>
      </c>
      <c r="C38" s="38">
        <f>MAX(MIN(C35-C27-C29-C31-C33-Tabellen!A11,(0-C27-C29-C31-C33)),0)*(Tabellen!D11-Tabellen!E13)</f>
        <v>1944.7394400000001</v>
      </c>
    </row>
    <row r="39" spans="1:3" ht="12" customHeight="1" x14ac:dyDescent="0.2">
      <c r="A39" s="7" t="s">
        <v>126</v>
      </c>
      <c r="C39" s="38">
        <f>-(VLOOKUP((C25+C26+C34),tabelAK,3)+((C25+C26+C34)-VLOOKUP((C25+C26+C34),tabelAK,1))*VLOOKUP((C25+C26+C34),tabelAK,2))</f>
        <v>-841.03919999999925</v>
      </c>
    </row>
    <row r="40" spans="1:3" ht="12" customHeight="1" x14ac:dyDescent="0.2">
      <c r="A40" s="7" t="s">
        <v>127</v>
      </c>
      <c r="C40" s="38">
        <f>-ROUNDUP(IF((C35+C21)&gt;29736,MAX(3115-((C35+C21)-29736)*6.398%,0),3115),0)</f>
        <v>0</v>
      </c>
    </row>
    <row r="41" spans="1:3" ht="12" customHeight="1" x14ac:dyDescent="0.2">
      <c r="A41" s="7" t="s">
        <v>328</v>
      </c>
      <c r="C41" s="38">
        <f>MAX(0,MIN(Tabellen!E35,SUM(C25:C29)*Tabellen!C35))</f>
        <v>3851</v>
      </c>
    </row>
    <row r="42" spans="1:3" ht="12" customHeight="1" x14ac:dyDescent="0.2">
      <c r="A42" s="7" t="s">
        <v>207</v>
      </c>
      <c r="C42" s="38">
        <f>-(C10*C13)/(1+C14)^(C5-C4)</f>
        <v>0</v>
      </c>
    </row>
    <row r="43" spans="1:3" ht="12" customHeight="1" x14ac:dyDescent="0.2">
      <c r="A43" s="7" t="s">
        <v>12</v>
      </c>
      <c r="C43" s="38">
        <f>(C12*C13)/(1+C14)^(C5-C4)</f>
        <v>0</v>
      </c>
    </row>
    <row r="44" spans="1:3" ht="12" customHeight="1" x14ac:dyDescent="0.2">
      <c r="C44" s="26"/>
    </row>
    <row r="45" spans="1:3" ht="12" customHeight="1" x14ac:dyDescent="0.2">
      <c r="A45" s="7" t="s">
        <v>269</v>
      </c>
      <c r="C45" s="28">
        <f>C6</f>
        <v>2000</v>
      </c>
    </row>
    <row r="46" spans="1:3" ht="12" customHeight="1" x14ac:dyDescent="0.2">
      <c r="A46" s="7" t="s">
        <v>121</v>
      </c>
      <c r="C46" s="38">
        <f>MAX(0,IF(C18&gt;Tabellen!E22,Tabellen!E24*Tabellen!E22+(C18-Tabellen!E22)*Tabellen!E23,C18*Tabellen!E24))</f>
        <v>14820</v>
      </c>
    </row>
    <row r="47" spans="1:3" ht="12" customHeight="1" x14ac:dyDescent="0.2">
      <c r="A47" s="7" t="s">
        <v>133</v>
      </c>
      <c r="C47" s="38">
        <f>'BV ja, BV nee'!E6*(C18+C11-C21-C46)/(1+C14)^Jaren</f>
        <v>1994.7638475342649</v>
      </c>
    </row>
    <row r="48" spans="1:3" ht="12" customHeight="1" x14ac:dyDescent="0.2">
      <c r="A48" s="7" t="s">
        <v>134</v>
      </c>
      <c r="C48" s="38">
        <f>C21*C22</f>
        <v>12250</v>
      </c>
    </row>
    <row r="49" spans="1:3" ht="12" customHeight="1" x14ac:dyDescent="0.2">
      <c r="A49" s="7" t="s">
        <v>175</v>
      </c>
      <c r="C49" s="70">
        <f>SUM(C37:C48)</f>
        <v>77288.23208753427</v>
      </c>
    </row>
    <row r="50" spans="1:3" ht="12" customHeight="1" x14ac:dyDescent="0.2"/>
    <row r="51" spans="1:3" ht="12" customHeight="1" x14ac:dyDescent="0.2">
      <c r="A51" s="7" t="s">
        <v>135</v>
      </c>
      <c r="C51" s="38">
        <f>'BV ja, BV nee'!B44</f>
        <v>82848.411439999996</v>
      </c>
    </row>
    <row r="52" spans="1:3" ht="12" customHeight="1" x14ac:dyDescent="0.2">
      <c r="A52" s="7" t="s">
        <v>270</v>
      </c>
      <c r="C52" s="38">
        <f>'BV ja, BV nee'!E44</f>
        <v>78049.172860902792</v>
      </c>
    </row>
    <row r="53" spans="1:3" ht="12" customHeight="1" x14ac:dyDescent="0.2"/>
    <row r="54" spans="1:3" ht="12" customHeight="1" x14ac:dyDescent="0.2">
      <c r="A54" s="7" t="s">
        <v>286</v>
      </c>
      <c r="C54" s="38">
        <f>C52-C49</f>
        <v>760.94077336852206</v>
      </c>
    </row>
    <row r="55" spans="1:3" x14ac:dyDescent="0.2"/>
    <row r="56" spans="1:3" x14ac:dyDescent="0.2"/>
  </sheetData>
  <sheetProtection sheet="1" objects="1" scenarios="1" autoFilter="0"/>
  <dataValidations count="4">
    <dataValidation type="whole" allowBlank="1" showInputMessage="1" showErrorMessage="1" error="Bedrag met - teken invoeren!" promptTitle="Minteken" prompt="Bedrag met _x000a_- teken invoeren_x000a_" sqref="C32" xr:uid="{00000000-0002-0000-0700-000000000000}">
      <formula1>-100000</formula1>
      <formula2>0</formula2>
    </dataValidation>
    <dataValidation allowBlank="1" showErrorMessage="1" errorTitle="Dividenduitkering" error="Er wordt meer dividend uitgekeerd dan de winst toelaat. Verlaag het dividend!" sqref="C21:C23" xr:uid="{00000000-0002-0000-0700-000001000000}"/>
    <dataValidation allowBlank="1" showInputMessage="1" showErrorMessage="1" sqref="C8:C10" xr:uid="{00000000-0002-0000-0700-000002000000}"/>
    <dataValidation type="whole" allowBlank="1" showInputMessage="1" showErrorMessage="1" error="Bedragen met - teken invoeren!" promptTitle="Minteken" prompt="Bedrag met _x000a_- teken invoeren" sqref="C33" xr:uid="{00000000-0002-0000-0700-000003000000}">
      <formula1>-100000</formula1>
      <formula2>0</formula2>
    </dataValidation>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IV60"/>
  <sheetViews>
    <sheetView showGridLines="0" zoomScaleNormal="100" zoomScaleSheetLayoutView="100" workbookViewId="0">
      <selection activeCell="E18" sqref="E18"/>
    </sheetView>
  </sheetViews>
  <sheetFormatPr defaultColWidth="0" defaultRowHeight="12.75" zeroHeight="1" x14ac:dyDescent="0.2"/>
  <cols>
    <col min="1" max="5" width="12.5703125" style="7" customWidth="1"/>
    <col min="6" max="6" width="6.5703125" style="7" customWidth="1"/>
    <col min="7" max="7" width="6.85546875" hidden="1" customWidth="1"/>
    <col min="8" max="8" width="9.140625" hidden="1" customWidth="1"/>
    <col min="9" max="255" width="6" hidden="1" customWidth="1"/>
    <col min="256" max="256" width="3.5703125" hidden="1" customWidth="1"/>
    <col min="257" max="16384" width="6" hidden="1"/>
  </cols>
  <sheetData>
    <row r="1" spans="1:6" ht="18" customHeight="1" x14ac:dyDescent="0.2">
      <c r="A1" s="85" t="str">
        <f>"Tabellen - " &amp; versie</f>
        <v>Tabellen - v20260304</v>
      </c>
      <c r="B1" s="85"/>
      <c r="C1" s="85"/>
      <c r="D1" s="85"/>
      <c r="E1" s="85"/>
      <c r="F1" s="85"/>
    </row>
    <row r="2" spans="1:6" ht="12" customHeight="1" x14ac:dyDescent="0.2">
      <c r="A2" s="91"/>
      <c r="B2" s="91"/>
      <c r="C2" s="91"/>
      <c r="D2" s="91"/>
      <c r="E2" s="91"/>
      <c r="F2" s="91"/>
    </row>
    <row r="3" spans="1:6" ht="12" customHeight="1" x14ac:dyDescent="0.2">
      <c r="A3" s="71"/>
      <c r="D3" s="7">
        <f>jaar</f>
        <v>2026</v>
      </c>
      <c r="E3" s="38"/>
      <c r="F3" s="38"/>
    </row>
    <row r="4" spans="1:6" ht="12" customHeight="1" x14ac:dyDescent="0.2">
      <c r="A4" s="7" t="s">
        <v>168</v>
      </c>
      <c r="B4" s="51"/>
      <c r="C4" s="57"/>
      <c r="D4" s="69">
        <v>1200</v>
      </c>
    </row>
    <row r="5" spans="1:6" ht="12" customHeight="1" x14ac:dyDescent="0.2">
      <c r="A5" s="38" t="s">
        <v>169</v>
      </c>
      <c r="B5" s="38"/>
      <c r="D5" s="38">
        <v>2123</v>
      </c>
      <c r="F5" s="38"/>
    </row>
    <row r="6" spans="1:6" ht="12" customHeight="1" x14ac:dyDescent="0.2">
      <c r="A6" s="38" t="s">
        <v>206</v>
      </c>
      <c r="B6" s="38"/>
      <c r="D6" s="37">
        <v>0.127</v>
      </c>
      <c r="F6" s="38"/>
    </row>
    <row r="7" spans="1:6" ht="12" customHeight="1" x14ac:dyDescent="0.2">
      <c r="A7" s="72"/>
      <c r="B7" s="72"/>
      <c r="C7" s="72"/>
      <c r="F7" s="38"/>
    </row>
    <row r="8" spans="1:6" ht="12" customHeight="1" x14ac:dyDescent="0.2">
      <c r="A8" s="35" t="str">
        <f>"IB-tarief box 1 tot AOW-leeftijd " &amp; jaar</f>
        <v>IB-tarief box 1 tot AOW-leeftijd 2026</v>
      </c>
      <c r="B8" s="35"/>
      <c r="C8" s="35"/>
      <c r="D8" s="35"/>
      <c r="F8" s="38"/>
    </row>
    <row r="9" spans="1:6" ht="12" customHeight="1" x14ac:dyDescent="0.2">
      <c r="A9" s="38">
        <v>0</v>
      </c>
      <c r="B9" s="38">
        <v>38883</v>
      </c>
      <c r="C9" s="38"/>
      <c r="D9" s="37">
        <v>0.35750000000000004</v>
      </c>
      <c r="F9" s="38"/>
    </row>
    <row r="10" spans="1:6" ht="12" customHeight="1" x14ac:dyDescent="0.2">
      <c r="A10" s="38">
        <f>B9</f>
        <v>38883</v>
      </c>
      <c r="B10" s="38">
        <v>78426</v>
      </c>
      <c r="C10" s="38">
        <f>TRUNC(D9*B9)</f>
        <v>13900</v>
      </c>
      <c r="D10" s="37">
        <v>0.37559999999999999</v>
      </c>
      <c r="F10" s="38"/>
    </row>
    <row r="11" spans="1:6" ht="12" customHeight="1" x14ac:dyDescent="0.2">
      <c r="A11" s="38">
        <f>B10</f>
        <v>78426</v>
      </c>
      <c r="B11" s="38"/>
      <c r="C11" s="38">
        <f>TRUNC(C10+(B10-A10)*D10)</f>
        <v>28752</v>
      </c>
      <c r="D11" s="37">
        <v>0.495</v>
      </c>
    </row>
    <row r="12" spans="1:6" ht="12" customHeight="1" x14ac:dyDescent="0.2">
      <c r="A12" s="38"/>
      <c r="B12" s="38"/>
      <c r="C12" s="38"/>
      <c r="D12" s="37"/>
    </row>
    <row r="13" spans="1:6" ht="12" customHeight="1" x14ac:dyDescent="0.2">
      <c r="A13" s="7" t="str">
        <f>"Tarief waartegen aftrekposten in " &amp; jaar &amp; " maximaal kunnen worden verrekend"</f>
        <v>Tarief waartegen aftrekposten in 2026 maximaal kunnen worden verrekend</v>
      </c>
      <c r="B13" s="38"/>
      <c r="C13" s="38"/>
      <c r="D13" s="37"/>
      <c r="E13" s="37">
        <f>D10</f>
        <v>0.37559999999999999</v>
      </c>
    </row>
    <row r="14" spans="1:6" ht="12" customHeight="1" x14ac:dyDescent="0.2">
      <c r="B14" s="38"/>
      <c r="C14" s="38"/>
      <c r="D14" s="37"/>
    </row>
    <row r="15" spans="1:6" ht="12" customHeight="1" x14ac:dyDescent="0.2">
      <c r="A15" s="38" t="s">
        <v>202</v>
      </c>
      <c r="B15" s="38"/>
    </row>
    <row r="16" spans="1:6" ht="12" customHeight="1" x14ac:dyDescent="0.2">
      <c r="A16" s="38" t="s">
        <v>128</v>
      </c>
      <c r="B16" s="38"/>
    </row>
    <row r="17" spans="1:6" ht="12" customHeight="1" x14ac:dyDescent="0.2">
      <c r="A17" s="38"/>
      <c r="B17" s="38"/>
    </row>
    <row r="18" spans="1:6" ht="12" customHeight="1" x14ac:dyDescent="0.2">
      <c r="A18" s="38" t="s">
        <v>213</v>
      </c>
      <c r="B18" s="38"/>
      <c r="E18" s="20">
        <v>58000</v>
      </c>
    </row>
    <row r="19" spans="1:6" ht="12" customHeight="1" x14ac:dyDescent="0.2">
      <c r="A19" s="38"/>
      <c r="B19" s="38"/>
    </row>
    <row r="20" spans="1:6" ht="12" customHeight="1" x14ac:dyDescent="0.2">
      <c r="F20" s="38"/>
    </row>
    <row r="21" spans="1:6" ht="12" customHeight="1" x14ac:dyDescent="0.2">
      <c r="A21" s="35" t="s">
        <v>145</v>
      </c>
      <c r="B21" s="9"/>
      <c r="C21" s="9"/>
      <c r="D21" s="9"/>
      <c r="E21" s="9">
        <f>jaar</f>
        <v>2026</v>
      </c>
    </row>
    <row r="22" spans="1:6" ht="12" customHeight="1" x14ac:dyDescent="0.2">
      <c r="A22" s="7" t="s">
        <v>237</v>
      </c>
      <c r="C22" s="38"/>
      <c r="D22" s="38"/>
      <c r="E22" s="38">
        <v>200000</v>
      </c>
    </row>
    <row r="23" spans="1:6" ht="12" customHeight="1" x14ac:dyDescent="0.2">
      <c r="A23" s="7" t="s">
        <v>120</v>
      </c>
      <c r="C23" s="37"/>
      <c r="D23" s="37"/>
      <c r="E23" s="37">
        <v>0.25800000000000001</v>
      </c>
    </row>
    <row r="24" spans="1:6" ht="12" customHeight="1" x14ac:dyDescent="0.2">
      <c r="A24" s="7" t="s">
        <v>131</v>
      </c>
      <c r="C24" s="37"/>
      <c r="D24" s="37"/>
      <c r="E24" s="37">
        <v>0.19</v>
      </c>
    </row>
    <row r="25" spans="1:6" ht="12" customHeight="1" x14ac:dyDescent="0.2">
      <c r="C25" s="37"/>
      <c r="D25" s="37"/>
      <c r="E25" s="37"/>
    </row>
    <row r="26" spans="1:6" ht="12" customHeight="1" x14ac:dyDescent="0.2">
      <c r="A26" s="35" t="s">
        <v>290</v>
      </c>
      <c r="B26" s="9"/>
      <c r="C26" s="9"/>
      <c r="D26" s="9"/>
      <c r="E26" s="9">
        <f>jaar</f>
        <v>2026</v>
      </c>
    </row>
    <row r="27" spans="1:6" ht="12" customHeight="1" x14ac:dyDescent="0.2">
      <c r="A27" s="7" t="str">
        <f>"Lage box 2-tarief " &amp; jaar</f>
        <v>Lage box 2-tarief 2026</v>
      </c>
      <c r="C27" s="37"/>
      <c r="E27" s="37">
        <v>0.245</v>
      </c>
    </row>
    <row r="28" spans="1:6" ht="12" customHeight="1" x14ac:dyDescent="0.2">
      <c r="A28" s="7" t="str">
        <f>"Tariefopstapje " &amp; jaar</f>
        <v>Tariefopstapje 2026</v>
      </c>
      <c r="C28" s="37"/>
      <c r="E28" s="38">
        <v>68843</v>
      </c>
      <c r="F28" s="37"/>
    </row>
    <row r="29" spans="1:6" ht="12" customHeight="1" x14ac:dyDescent="0.2">
      <c r="A29" s="7" t="s">
        <v>288</v>
      </c>
      <c r="C29" s="37"/>
      <c r="E29" s="37">
        <v>0.31</v>
      </c>
      <c r="F29" s="37"/>
    </row>
    <row r="30" spans="1:6" ht="12" customHeight="1" x14ac:dyDescent="0.2">
      <c r="A30" s="7" t="str">
        <f>"Gemiddelde box 2-tarief dividend " &amp; jaar</f>
        <v>Gemiddelde box 2-tarief dividend 2026</v>
      </c>
      <c r="B30"/>
      <c r="C30"/>
      <c r="D30"/>
      <c r="E30" s="24">
        <f>IF(dividendLevensonderhoud=0,0,(IF(dividendLevensonderhoud=0,0,(MAX(0,dividendLevensonderhoud-E28)*E29+MIN(E28,dividendLevensonderhoud)*E27))/dividendLevensonderhoud))</f>
        <v>0.245</v>
      </c>
      <c r="F30" s="37"/>
    </row>
    <row r="31" spans="1:6" ht="12" customHeight="1" x14ac:dyDescent="0.2">
      <c r="C31" s="37"/>
      <c r="F31" s="37"/>
    </row>
    <row r="32" spans="1:6" ht="12" customHeight="1" x14ac:dyDescent="0.2">
      <c r="C32" s="37"/>
    </row>
    <row r="33" spans="1:6" ht="12" customHeight="1" x14ac:dyDescent="0.2">
      <c r="A33" s="35" t="str">
        <f>"Bijdrage Zvw " &amp; jaar</f>
        <v>Bijdrage Zvw 2026</v>
      </c>
      <c r="B33" s="35"/>
      <c r="C33" s="73"/>
      <c r="D33" s="35"/>
      <c r="E33" s="35"/>
      <c r="F33" s="35"/>
    </row>
    <row r="34" spans="1:6" ht="12" customHeight="1" x14ac:dyDescent="0.2">
      <c r="A34" s="7" t="s">
        <v>287</v>
      </c>
      <c r="C34" s="38">
        <v>79409</v>
      </c>
    </row>
    <row r="35" spans="1:6" ht="12" customHeight="1" x14ac:dyDescent="0.2">
      <c r="A35" s="7" t="s">
        <v>130</v>
      </c>
      <c r="C35" s="74">
        <v>4.8500000000000001E-2</v>
      </c>
      <c r="D35" s="68" t="s">
        <v>243</v>
      </c>
      <c r="E35" s="38">
        <f>TRUNC(C34*C35)</f>
        <v>3851</v>
      </c>
    </row>
    <row r="36" spans="1:6" ht="12" customHeight="1" x14ac:dyDescent="0.2">
      <c r="C36" s="74"/>
      <c r="E36" s="38"/>
    </row>
    <row r="37" spans="1:6" ht="12" customHeight="1" x14ac:dyDescent="0.2">
      <c r="A37" s="35" t="str">
        <f>"Tabel arbeidskorting " &amp; jaar</f>
        <v>Tabel arbeidskorting 2026</v>
      </c>
      <c r="B37" s="35"/>
      <c r="C37" s="75"/>
      <c r="D37" s="35"/>
      <c r="E37" s="66"/>
      <c r="F37" s="35"/>
    </row>
    <row r="38" spans="1:6" ht="12" customHeight="1" x14ac:dyDescent="0.2">
      <c r="A38" s="38">
        <v>0</v>
      </c>
      <c r="B38" s="76">
        <v>8.3239999999999995E-2</v>
      </c>
      <c r="C38" s="38">
        <v>0</v>
      </c>
      <c r="E38" s="38"/>
    </row>
    <row r="39" spans="1:6" ht="12" customHeight="1" x14ac:dyDescent="0.2">
      <c r="A39" s="38">
        <v>11965</v>
      </c>
      <c r="B39" s="76">
        <v>0.31008999999999998</v>
      </c>
      <c r="C39" s="38">
        <v>996</v>
      </c>
      <c r="E39" s="38"/>
    </row>
    <row r="40" spans="1:6" ht="12" customHeight="1" x14ac:dyDescent="0.2">
      <c r="A40" s="38">
        <v>25845</v>
      </c>
      <c r="B40" s="76">
        <v>1.95E-2</v>
      </c>
      <c r="C40" s="38">
        <v>5300</v>
      </c>
      <c r="E40" s="38"/>
    </row>
    <row r="41" spans="1:6" ht="12" customHeight="1" x14ac:dyDescent="0.2">
      <c r="A41" s="38">
        <v>45592</v>
      </c>
      <c r="B41" s="76">
        <v>-6.5100000000000005E-2</v>
      </c>
      <c r="C41" s="38">
        <v>5685</v>
      </c>
      <c r="E41" s="38"/>
    </row>
    <row r="42" spans="1:6" ht="12" customHeight="1" x14ac:dyDescent="0.2">
      <c r="A42" s="38">
        <v>132920</v>
      </c>
      <c r="C42" s="38">
        <v>0</v>
      </c>
      <c r="E42" s="38"/>
    </row>
    <row r="43" spans="1:6" ht="12" customHeight="1" x14ac:dyDescent="0.2">
      <c r="A43" s="51"/>
      <c r="C43" s="37"/>
    </row>
    <row r="44" spans="1:6" ht="12" customHeight="1" x14ac:dyDescent="0.2">
      <c r="A44" s="35" t="s">
        <v>127</v>
      </c>
      <c r="B44" s="35"/>
      <c r="C44" s="35"/>
      <c r="D44" s="35" t="s">
        <v>126</v>
      </c>
      <c r="E44" s="35" t="s">
        <v>155</v>
      </c>
      <c r="F44" s="35"/>
    </row>
    <row r="45" spans="1:6" ht="12" customHeight="1" x14ac:dyDescent="0.2">
      <c r="A45" s="7" t="s">
        <v>156</v>
      </c>
    </row>
    <row r="46" spans="1:6" ht="12" customHeight="1" x14ac:dyDescent="0.2">
      <c r="D46" s="38"/>
    </row>
    <row r="47" spans="1:6" ht="12" customHeight="1" x14ac:dyDescent="0.2">
      <c r="A47" s="7">
        <f>jaar</f>
        <v>2026</v>
      </c>
      <c r="B47" s="38">
        <f>ROUNDUP(IF(Box1OND&gt;29736,MAX(3115-(Box1OND-29736)*6.398%,0),3115),0)</f>
        <v>0</v>
      </c>
      <c r="D47" s="38">
        <f>VLOOKUP(E47,tabelAK,3)+(E47-VLOOKUP(E47,tabelAK,1))*VLOOKUP(E47,tabelAK,2)</f>
        <v>0</v>
      </c>
      <c r="E47" s="41">
        <f>'BV ja, BV nee'!B20+'BV ja, BV nee'!B21+'BV ja, BV nee'!B23+'BV ja, BV nee'!B30</f>
        <v>200000</v>
      </c>
      <c r="F47" s="41"/>
    </row>
    <row r="48" spans="1:6" ht="12" customHeight="1" x14ac:dyDescent="0.2">
      <c r="D48" s="38"/>
    </row>
    <row r="49" spans="1:6" ht="12" customHeight="1" x14ac:dyDescent="0.2">
      <c r="A49" s="7" t="s">
        <v>157</v>
      </c>
      <c r="D49" s="38"/>
    </row>
    <row r="50" spans="1:6" ht="12" customHeight="1" x14ac:dyDescent="0.2">
      <c r="B50" s="38"/>
      <c r="D50" s="38"/>
    </row>
    <row r="51" spans="1:6" ht="12" customHeight="1" x14ac:dyDescent="0.2">
      <c r="A51" s="7">
        <f>jaar</f>
        <v>2026</v>
      </c>
      <c r="B51" s="38">
        <f>IF((Box1DGA+dividendLevensonderhoud)&gt;29736,MAX(3115-((Box1DGA+dividendLevensonderhoud)-29736)*6.398%,0),3115)</f>
        <v>0</v>
      </c>
      <c r="D51" s="38">
        <f>VLOOKUP(E51,tabelAK,3)+(E51-VLOOKUP(E51,tabelAK,1))*VLOOKUP(E51,tabelAK,2)</f>
        <v>2143.0391999999997</v>
      </c>
      <c r="E51" s="41">
        <f>'BV ja, BV nee'!E20+'BV ja, BV nee'!B21+'BV ja, BV nee'!E30</f>
        <v>100000</v>
      </c>
      <c r="F51" s="41"/>
    </row>
    <row r="52" spans="1:6" ht="12" customHeight="1" x14ac:dyDescent="0.2"/>
    <row r="53" spans="1:6" ht="12" customHeight="1" x14ac:dyDescent="0.2">
      <c r="A53" s="7" t="s">
        <v>214</v>
      </c>
      <c r="D53" s="38">
        <f>ROUNDUP((137800-AOWfranchise)*30%,0)</f>
        <v>35589</v>
      </c>
      <c r="E53" s="77"/>
    </row>
    <row r="54" spans="1:6" ht="12" customHeight="1" x14ac:dyDescent="0.2">
      <c r="A54" s="7" t="s">
        <v>215</v>
      </c>
      <c r="D54" s="38">
        <v>42753</v>
      </c>
    </row>
    <row r="55" spans="1:6" ht="12" customHeight="1" x14ac:dyDescent="0.2">
      <c r="A55" s="7" t="s">
        <v>216</v>
      </c>
      <c r="D55" s="38">
        <v>574867</v>
      </c>
    </row>
    <row r="56" spans="1:6" ht="12" customHeight="1" x14ac:dyDescent="0.2">
      <c r="A56" s="7" t="s">
        <v>218</v>
      </c>
      <c r="D56" s="38">
        <v>287445</v>
      </c>
    </row>
    <row r="57" spans="1:6" ht="12" customHeight="1" x14ac:dyDescent="0.2">
      <c r="A57" s="7" t="s">
        <v>217</v>
      </c>
      <c r="D57" s="38">
        <v>143732</v>
      </c>
    </row>
    <row r="58" spans="1:6" ht="12" customHeight="1" x14ac:dyDescent="0.2">
      <c r="A58" s="7" t="s">
        <v>219</v>
      </c>
      <c r="D58" s="38">
        <v>19172</v>
      </c>
      <c r="E58" s="77"/>
    </row>
    <row r="59" spans="1:6" x14ac:dyDescent="0.2"/>
    <row r="60" spans="1:6" x14ac:dyDescent="0.2"/>
  </sheetData>
  <sheetProtection sheet="1" objects="1" scenarios="1" autoFilter="0"/>
  <phoneticPr fontId="0" type="noConversion"/>
  <pageMargins left="0.75" right="0.75" top="1" bottom="1" header="0.5" footer="0.5"/>
  <pageSetup paperSize="9" orientation="portrait" r:id="rId1"/>
  <headerFooter alignWithMargins="0">
    <oddFooter>&amp;C&amp;6Belastingadviesprogramma - MFAS</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5"/>
  <dimension ref="A1:IU116"/>
  <sheetViews>
    <sheetView showGridLines="0" showRowColHeaders="0" zoomScaleNormal="100" workbookViewId="0"/>
  </sheetViews>
  <sheetFormatPr defaultColWidth="0" defaultRowHeight="12.75" zeroHeight="1" x14ac:dyDescent="0.2"/>
  <cols>
    <col min="1" max="1" width="3.7109375" customWidth="1"/>
    <col min="2" max="2" width="78.5703125" customWidth="1"/>
    <col min="3" max="3" width="3.7109375" customWidth="1"/>
    <col min="4" max="5" width="9.140625" hidden="1" customWidth="1"/>
    <col min="6" max="6" width="9.5703125" hidden="1" customWidth="1"/>
    <col min="7" max="254" width="9.140625" hidden="1" customWidth="1"/>
    <col min="255" max="255" width="3.5703125" hidden="1" customWidth="1"/>
    <col min="256" max="16384" width="1.140625" hidden="1"/>
  </cols>
  <sheetData>
    <row r="1" spans="1:3" ht="18" customHeight="1" x14ac:dyDescent="0.2">
      <c r="A1" s="85"/>
      <c r="B1" s="85" t="str">
        <f>"Uitleg - " &amp; versie</f>
        <v>Uitleg - v20260304</v>
      </c>
      <c r="C1" s="85"/>
    </row>
    <row r="2" spans="1:3" ht="12" customHeight="1" x14ac:dyDescent="0.2">
      <c r="A2" s="7"/>
      <c r="B2" s="7"/>
      <c r="C2" s="7"/>
    </row>
    <row r="3" spans="1:3" ht="12" customHeight="1" x14ac:dyDescent="0.2">
      <c r="A3" s="7"/>
      <c r="B3" s="8" t="s">
        <v>273</v>
      </c>
      <c r="C3" s="7"/>
    </row>
    <row r="4" spans="1:3" ht="12" customHeight="1" x14ac:dyDescent="0.2">
      <c r="A4" s="7"/>
      <c r="B4" s="7" t="s">
        <v>291</v>
      </c>
      <c r="C4" s="7"/>
    </row>
    <row r="5" spans="1:3" ht="12" customHeight="1" x14ac:dyDescent="0.2">
      <c r="A5" s="7"/>
      <c r="B5" s="7" t="str">
        <f>"Op regel " &amp; ROW(belasting) &amp; " wordt alleen naar de directe heffingen gekeken. Bij de IB-onderneming is dat de IB"</f>
        <v>Op regel 39 wordt alleen naar de directe heffingen gekeken. Bij de IB-onderneming is dat de IB</v>
      </c>
      <c r="C5" s="7"/>
    </row>
    <row r="6" spans="1:3" ht="12" customHeight="1" x14ac:dyDescent="0.2">
      <c r="A6" s="7"/>
      <c r="B6" s="7" t="s">
        <v>274</v>
      </c>
      <c r="C6" s="7"/>
    </row>
    <row r="7" spans="1:3" ht="12" customHeight="1" x14ac:dyDescent="0.2">
      <c r="A7" s="7"/>
      <c r="B7" s="7"/>
      <c r="C7" s="7"/>
    </row>
    <row r="8" spans="1:3" ht="12" customHeight="1" x14ac:dyDescent="0.2">
      <c r="A8" s="7"/>
      <c r="B8" s="7" t="s">
        <v>129</v>
      </c>
      <c r="C8" s="7"/>
    </row>
    <row r="9" spans="1:3" ht="12" customHeight="1" x14ac:dyDescent="0.2">
      <c r="A9" s="7"/>
      <c r="B9" s="7" t="s">
        <v>184</v>
      </c>
      <c r="C9" s="7"/>
    </row>
    <row r="10" spans="1:3" ht="12" customHeight="1" x14ac:dyDescent="0.2">
      <c r="A10" s="7"/>
      <c r="B10" s="7" t="s">
        <v>275</v>
      </c>
      <c r="C10" s="7"/>
    </row>
    <row r="11" spans="1:3" ht="12" customHeight="1" x14ac:dyDescent="0.2">
      <c r="A11" s="7"/>
      <c r="B11" s="7"/>
      <c r="C11" s="7"/>
    </row>
    <row r="12" spans="1:3" ht="12" customHeight="1" x14ac:dyDescent="0.2">
      <c r="A12" s="7"/>
      <c r="B12" s="7" t="str">
        <f>"Op regel " &amp; ROW(fiscaleClaims) &amp; " worden ook de fiscale claims (banksparen, pensioen en aanmerkelijk belang) meegenomen."</f>
        <v>Op regel 44 worden ook de fiscale claims (banksparen, pensioen en aanmerkelijk belang) meegenomen.</v>
      </c>
      <c r="C12" s="7"/>
    </row>
    <row r="13" spans="1:3" ht="12" customHeight="1" x14ac:dyDescent="0.2">
      <c r="A13" s="7"/>
      <c r="B13" s="7" t="s">
        <v>170</v>
      </c>
      <c r="C13" s="7"/>
    </row>
    <row r="14" spans="1:3" ht="12" customHeight="1" x14ac:dyDescent="0.2">
      <c r="A14" s="7"/>
      <c r="B14" s="7" t="s">
        <v>171</v>
      </c>
      <c r="C14" s="7"/>
    </row>
    <row r="15" spans="1:3" ht="12" customHeight="1" x14ac:dyDescent="0.2">
      <c r="A15" s="7"/>
      <c r="B15" s="7"/>
      <c r="C15" s="7"/>
    </row>
    <row r="16" spans="1:3" ht="12" customHeight="1" x14ac:dyDescent="0.2">
      <c r="A16" s="7"/>
      <c r="B16" s="7" t="s">
        <v>333</v>
      </c>
      <c r="C16" s="7"/>
    </row>
    <row r="17" spans="1:3" ht="12" customHeight="1" x14ac:dyDescent="0.2">
      <c r="A17" s="7"/>
      <c r="B17" s="7" t="s">
        <v>292</v>
      </c>
      <c r="C17" s="7"/>
    </row>
    <row r="18" spans="1:3" ht="12" customHeight="1" x14ac:dyDescent="0.2">
      <c r="A18" s="7"/>
      <c r="B18" s="7" t="s">
        <v>210</v>
      </c>
      <c r="C18" s="7"/>
    </row>
    <row r="19" spans="1:3" ht="12" customHeight="1" x14ac:dyDescent="0.2">
      <c r="A19" s="7"/>
      <c r="B19" s="7"/>
      <c r="C19" s="7"/>
    </row>
    <row r="20" spans="1:3" ht="12" customHeight="1" x14ac:dyDescent="0.2">
      <c r="A20" s="7"/>
      <c r="B20" s="7" t="str">
        <f>"Bij de BV wordt er over de landbouwvrijstelling wel AB-claim opgebouwd (cel " &amp;ADDRESS(ROW(wevab),COLUMN(wevab),4) &amp;" en cel " &amp;ADDRESS(ROW(stijgingWevab),COLUMN(stijgingWevab),4) &amp; ")"</f>
        <v>Bij de BV wordt er over de landbouwvrijstelling wel AB-claim opgebouwd (cel B16 en cel B17)</v>
      </c>
      <c r="C20" s="7"/>
    </row>
    <row r="21" spans="1:3" ht="12" customHeight="1" x14ac:dyDescent="0.2">
      <c r="A21" s="7"/>
      <c r="B21" s="7"/>
      <c r="C21" s="7"/>
    </row>
    <row r="22" spans="1:3" ht="12" customHeight="1" x14ac:dyDescent="0.2">
      <c r="A22" s="7"/>
      <c r="B22" s="7" t="s">
        <v>293</v>
      </c>
      <c r="C22" s="7"/>
    </row>
    <row r="23" spans="1:3" ht="12" customHeight="1" x14ac:dyDescent="0.2">
      <c r="A23" s="7"/>
      <c r="B23" s="7" t="s">
        <v>294</v>
      </c>
      <c r="C23" s="7"/>
    </row>
    <row r="24" spans="1:3" ht="12" customHeight="1" x14ac:dyDescent="0.2">
      <c r="A24" s="7"/>
      <c r="B24" s="7" t="s">
        <v>276</v>
      </c>
      <c r="C24" s="7"/>
    </row>
    <row r="25" spans="1:3" ht="12" customHeight="1" x14ac:dyDescent="0.2">
      <c r="A25" s="7"/>
      <c r="B25" s="7"/>
      <c r="C25" s="7"/>
    </row>
    <row r="26" spans="1:3" ht="12" customHeight="1" x14ac:dyDescent="0.2">
      <c r="A26" s="7"/>
      <c r="B26" s="7" t="str">
        <f>"De werkkostenregeling is een pluspunt voor de BV. In cel " &amp; ADDRESS(ROW(wkr),COLUMN(wkr),4) &amp; " kan in de meeste gevallen "</f>
        <v xml:space="preserve">De werkkostenregeling is een pluspunt voor de BV. In cel E10 kan in de meeste gevallen </v>
      </c>
      <c r="C26" s="7"/>
    </row>
    <row r="27" spans="1:3" ht="12" customHeight="1" x14ac:dyDescent="0.2">
      <c r="A27" s="7"/>
      <c r="B27" s="7" t="s">
        <v>326</v>
      </c>
      <c r="C27" s="7"/>
    </row>
    <row r="28" spans="1:3" ht="12" customHeight="1" x14ac:dyDescent="0.2">
      <c r="A28" s="7"/>
      <c r="B28" s="7"/>
      <c r="C28" s="7"/>
    </row>
    <row r="29" spans="1:3" ht="12" customHeight="1" x14ac:dyDescent="0.2">
      <c r="A29" s="7"/>
      <c r="B29" s="7" t="s">
        <v>295</v>
      </c>
      <c r="C29" s="7"/>
    </row>
    <row r="30" spans="1:3" ht="12" customHeight="1" x14ac:dyDescent="0.2">
      <c r="A30" s="7"/>
      <c r="B30" s="7" t="s">
        <v>296</v>
      </c>
      <c r="C30" s="7"/>
    </row>
    <row r="31" spans="1:3" ht="12" customHeight="1" x14ac:dyDescent="0.2">
      <c r="A31" s="7"/>
      <c r="B31" s="7" t="s">
        <v>334</v>
      </c>
      <c r="C31" s="7"/>
    </row>
    <row r="32" spans="1:3" ht="12" customHeight="1" x14ac:dyDescent="0.2">
      <c r="A32" s="7"/>
      <c r="B32" s="7" t="s">
        <v>297</v>
      </c>
      <c r="C32" s="7"/>
    </row>
    <row r="33" spans="1:3" ht="12" customHeight="1" x14ac:dyDescent="0.2">
      <c r="A33" s="7"/>
      <c r="B33" s="7"/>
      <c r="C33" s="7"/>
    </row>
    <row r="34" spans="1:3" ht="12" customHeight="1" x14ac:dyDescent="0.2">
      <c r="A34" s="7"/>
      <c r="B34" s="7" t="s">
        <v>185</v>
      </c>
      <c r="C34" s="7"/>
    </row>
    <row r="35" spans="1:3" ht="12" customHeight="1" x14ac:dyDescent="0.2">
      <c r="A35" s="7"/>
      <c r="B35" s="7" t="s">
        <v>186</v>
      </c>
      <c r="C35" s="7"/>
    </row>
    <row r="36" spans="1:3" ht="12" customHeight="1" x14ac:dyDescent="0.2">
      <c r="A36" s="7"/>
      <c r="B36" s="7"/>
      <c r="C36" s="7"/>
    </row>
    <row r="37" spans="1:3" ht="12" customHeight="1" x14ac:dyDescent="0.2">
      <c r="A37" s="7"/>
      <c r="B37" s="7" t="s">
        <v>166</v>
      </c>
      <c r="C37" s="7"/>
    </row>
    <row r="38" spans="1:3" ht="12" customHeight="1" x14ac:dyDescent="0.2">
      <c r="A38" s="7"/>
      <c r="B38" s="7" t="str">
        <f>"worden verrekend, bedraagt in " &amp; jaar &amp; " " &amp; FIXED(Tabellen!E13*100,2) &amp; "%. Dit betekent een tariefcorrectie"</f>
        <v>worden verrekend, bedraagt in 2026 37,56%. Dit betekent een tariefcorrectie</v>
      </c>
      <c r="C38" s="7"/>
    </row>
    <row r="39" spans="1:3" ht="12" customHeight="1" x14ac:dyDescent="0.2">
      <c r="A39" s="7"/>
      <c r="B39" s="7" t="str">
        <f>"in de hoogste schijf van " &amp; FIXED((Tabellen!D11-Tabellen!E13)*100,2) &amp; "%."</f>
        <v>in de hoogste schijf van 11,94%.</v>
      </c>
      <c r="C39" s="7"/>
    </row>
    <row r="40" spans="1:3" ht="12" customHeight="1" x14ac:dyDescent="0.2">
      <c r="A40" s="7"/>
      <c r="B40" s="7" t="s">
        <v>167</v>
      </c>
      <c r="C40" s="7"/>
    </row>
    <row r="41" spans="1:3" ht="12" customHeight="1" x14ac:dyDescent="0.2">
      <c r="A41" s="8"/>
      <c r="B41" s="8" t="s">
        <v>117</v>
      </c>
      <c r="C41" s="8"/>
    </row>
    <row r="42" spans="1:3" ht="12" customHeight="1" x14ac:dyDescent="0.2">
      <c r="A42" s="7"/>
      <c r="B42" s="7" t="s">
        <v>298</v>
      </c>
      <c r="C42" s="7"/>
    </row>
    <row r="43" spans="1:3" ht="12" customHeight="1" x14ac:dyDescent="0.2">
      <c r="A43" s="7"/>
      <c r="B43" s="7" t="s">
        <v>335</v>
      </c>
      <c r="C43" s="7"/>
    </row>
    <row r="44" spans="1:3" ht="12" customHeight="1" x14ac:dyDescent="0.2">
      <c r="A44" s="7"/>
      <c r="B44" s="7" t="s">
        <v>327</v>
      </c>
      <c r="C44" s="7"/>
    </row>
    <row r="45" spans="1:3" ht="12" customHeight="1" x14ac:dyDescent="0.2">
      <c r="A45" s="7"/>
      <c r="B45" s="7"/>
      <c r="C45" s="7"/>
    </row>
    <row r="46" spans="1:3" ht="12" customHeight="1" x14ac:dyDescent="0.2">
      <c r="A46" s="8"/>
      <c r="B46" s="8" t="s">
        <v>118</v>
      </c>
      <c r="C46" s="8"/>
    </row>
    <row r="47" spans="1:3" ht="12" customHeight="1" x14ac:dyDescent="0.2">
      <c r="A47" s="1"/>
      <c r="B47" s="1" t="s">
        <v>111</v>
      </c>
      <c r="C47" s="1"/>
    </row>
    <row r="48" spans="1:3" ht="12" customHeight="1" x14ac:dyDescent="0.2">
      <c r="A48" s="1"/>
      <c r="B48" s="1" t="s">
        <v>172</v>
      </c>
      <c r="C48" s="1"/>
    </row>
    <row r="49" spans="1:3" ht="12" customHeight="1" x14ac:dyDescent="0.2">
      <c r="A49" s="1"/>
      <c r="B49" s="1" t="s">
        <v>173</v>
      </c>
      <c r="C49" s="1"/>
    </row>
    <row r="50" spans="1:3" ht="12" customHeight="1" x14ac:dyDescent="0.2">
      <c r="A50" s="1"/>
      <c r="B50" s="1" t="s">
        <v>174</v>
      </c>
      <c r="C50" s="1"/>
    </row>
    <row r="51" spans="1:3" ht="12" customHeight="1" x14ac:dyDescent="0.2">
      <c r="A51" s="1"/>
      <c r="B51" s="80" t="s">
        <v>299</v>
      </c>
      <c r="C51" s="1"/>
    </row>
    <row r="52" spans="1:3" ht="12" customHeight="1" x14ac:dyDescent="0.2">
      <c r="A52" s="1"/>
      <c r="B52" s="80" t="s">
        <v>300</v>
      </c>
      <c r="C52" s="1"/>
    </row>
    <row r="53" spans="1:3" ht="12" customHeight="1" x14ac:dyDescent="0.2">
      <c r="A53" s="1"/>
      <c r="B53" s="80" t="s">
        <v>301</v>
      </c>
      <c r="C53" s="1"/>
    </row>
    <row r="54" spans="1:3" ht="12" customHeight="1" x14ac:dyDescent="0.2">
      <c r="A54" s="1"/>
      <c r="B54" s="1"/>
      <c r="C54" s="1"/>
    </row>
    <row r="55" spans="1:3" ht="12" customHeight="1" x14ac:dyDescent="0.2">
      <c r="A55" s="1"/>
      <c r="B55" s="1" t="s">
        <v>112</v>
      </c>
      <c r="C55" s="1"/>
    </row>
    <row r="56" spans="1:3" ht="12" customHeight="1" x14ac:dyDescent="0.2">
      <c r="A56" s="1"/>
      <c r="B56" s="1" t="s">
        <v>113</v>
      </c>
      <c r="C56" s="1"/>
    </row>
    <row r="57" spans="1:3" ht="12" customHeight="1" x14ac:dyDescent="0.2">
      <c r="A57" s="1"/>
      <c r="B57" s="1" t="s">
        <v>187</v>
      </c>
      <c r="C57" s="1"/>
    </row>
    <row r="58" spans="1:3" ht="12" customHeight="1" x14ac:dyDescent="0.2">
      <c r="A58" s="7"/>
      <c r="B58" s="7" t="s">
        <v>188</v>
      </c>
      <c r="C58" s="7"/>
    </row>
    <row r="59" spans="1:3" ht="12" customHeight="1" x14ac:dyDescent="0.2">
      <c r="A59" s="7"/>
      <c r="B59" s="7"/>
      <c r="C59" s="7"/>
    </row>
    <row r="60" spans="1:3" ht="12" customHeight="1" x14ac:dyDescent="0.2">
      <c r="A60" s="7"/>
      <c r="B60" s="7" t="s">
        <v>302</v>
      </c>
      <c r="C60" s="7"/>
    </row>
    <row r="61" spans="1:3" ht="12" customHeight="1" x14ac:dyDescent="0.2">
      <c r="A61" s="7"/>
      <c r="B61" s="7" t="s">
        <v>336</v>
      </c>
      <c r="C61" s="7"/>
    </row>
    <row r="62" spans="1:3" ht="12" customHeight="1" x14ac:dyDescent="0.2">
      <c r="A62" s="7"/>
      <c r="B62" s="7"/>
      <c r="C62" s="7"/>
    </row>
    <row r="63" spans="1:3" ht="12" customHeight="1" x14ac:dyDescent="0.2">
      <c r="A63" s="7"/>
      <c r="B63" s="7" t="s">
        <v>247</v>
      </c>
      <c r="C63" s="7"/>
    </row>
    <row r="64" spans="1:3" ht="12" customHeight="1" x14ac:dyDescent="0.2">
      <c r="A64" s="7"/>
      <c r="B64" s="7" t="s">
        <v>189</v>
      </c>
      <c r="C64" s="7"/>
    </row>
    <row r="65" spans="1:3" ht="12" customHeight="1" x14ac:dyDescent="0.2">
      <c r="A65" s="7"/>
      <c r="B65" s="7" t="s">
        <v>277</v>
      </c>
      <c r="C65" s="7"/>
    </row>
    <row r="66" spans="1:3" ht="12" customHeight="1" x14ac:dyDescent="0.2">
      <c r="A66" s="7"/>
      <c r="B66" s="7" t="s">
        <v>278</v>
      </c>
      <c r="C66" s="7"/>
    </row>
    <row r="67" spans="1:3" ht="12" customHeight="1" x14ac:dyDescent="0.2">
      <c r="A67" s="7"/>
      <c r="B67" s="7" t="s">
        <v>279</v>
      </c>
      <c r="C67" s="7"/>
    </row>
    <row r="68" spans="1:3" ht="12" customHeight="1" x14ac:dyDescent="0.2">
      <c r="A68" s="7"/>
      <c r="B68" s="7" t="s">
        <v>190</v>
      </c>
      <c r="C68" s="7"/>
    </row>
    <row r="69" spans="1:3" ht="12" customHeight="1" x14ac:dyDescent="0.2">
      <c r="A69" s="7"/>
      <c r="B69" s="7" t="s">
        <v>191</v>
      </c>
      <c r="C69" s="7"/>
    </row>
    <row r="70" spans="1:3" ht="12" customHeight="1" x14ac:dyDescent="0.2">
      <c r="A70" s="7"/>
      <c r="B70" s="7" t="s">
        <v>192</v>
      </c>
      <c r="C70" s="7"/>
    </row>
    <row r="71" spans="1:3" ht="12" customHeight="1" x14ac:dyDescent="0.2">
      <c r="A71" s="7"/>
      <c r="B71" s="7"/>
      <c r="C71" s="7"/>
    </row>
    <row r="72" spans="1:3" ht="12" customHeight="1" x14ac:dyDescent="0.2">
      <c r="A72" s="8"/>
      <c r="B72" s="8" t="s">
        <v>119</v>
      </c>
      <c r="C72" s="8"/>
    </row>
    <row r="73" spans="1:3" ht="12" customHeight="1" x14ac:dyDescent="0.2">
      <c r="A73" s="7"/>
      <c r="B73" s="7" t="s">
        <v>280</v>
      </c>
      <c r="C73" s="7"/>
    </row>
    <row r="74" spans="1:3" ht="12" customHeight="1" x14ac:dyDescent="0.2">
      <c r="A74" s="7"/>
      <c r="B74" s="7" t="s">
        <v>193</v>
      </c>
      <c r="C74" s="7"/>
    </row>
    <row r="75" spans="1:3" ht="12" customHeight="1" x14ac:dyDescent="0.2">
      <c r="A75" s="7"/>
      <c r="B75" s="7" t="s">
        <v>318</v>
      </c>
      <c r="C75" s="7"/>
    </row>
    <row r="76" spans="1:3" ht="12" customHeight="1" x14ac:dyDescent="0.2">
      <c r="A76" s="7"/>
      <c r="B76" s="7" t="s">
        <v>194</v>
      </c>
      <c r="C76" s="7"/>
    </row>
    <row r="77" spans="1:3" ht="12" customHeight="1" x14ac:dyDescent="0.2">
      <c r="A77" s="7"/>
      <c r="B77" s="7" t="s">
        <v>281</v>
      </c>
      <c r="C77" s="7"/>
    </row>
    <row r="78" spans="1:3" ht="12" customHeight="1" x14ac:dyDescent="0.2">
      <c r="A78" s="7"/>
      <c r="B78" s="7" t="s">
        <v>195</v>
      </c>
      <c r="C78" s="7"/>
    </row>
    <row r="79" spans="1:3" ht="12" customHeight="1" x14ac:dyDescent="0.2">
      <c r="A79" s="7"/>
      <c r="B79" s="7" t="s">
        <v>196</v>
      </c>
      <c r="C79" s="7"/>
    </row>
    <row r="80" spans="1:3" ht="12" customHeight="1" x14ac:dyDescent="0.2">
      <c r="A80" s="7"/>
      <c r="B80" s="7" t="s">
        <v>266</v>
      </c>
      <c r="C80" s="7"/>
    </row>
    <row r="81" spans="1:3" ht="12" customHeight="1" x14ac:dyDescent="0.2">
      <c r="A81" s="7"/>
      <c r="B81" s="7" t="s">
        <v>267</v>
      </c>
      <c r="C81" s="7"/>
    </row>
    <row r="82" spans="1:3" ht="12" customHeight="1" x14ac:dyDescent="0.2">
      <c r="A82" s="7"/>
      <c r="B82" s="7"/>
      <c r="C82" s="7"/>
    </row>
    <row r="83" spans="1:3" ht="12" customHeight="1" x14ac:dyDescent="0.2">
      <c r="A83" s="7"/>
      <c r="B83" s="7" t="s">
        <v>303</v>
      </c>
      <c r="C83" s="7"/>
    </row>
    <row r="84" spans="1:3" ht="12" customHeight="1" x14ac:dyDescent="0.2">
      <c r="A84" s="7"/>
      <c r="B84" s="7" t="s">
        <v>198</v>
      </c>
      <c r="C84" s="7"/>
    </row>
    <row r="85" spans="1:3" ht="12" customHeight="1" x14ac:dyDescent="0.2">
      <c r="A85" s="7"/>
      <c r="B85" s="7" t="s">
        <v>197</v>
      </c>
      <c r="C85" s="7"/>
    </row>
    <row r="86" spans="1:3" ht="12" customHeight="1" x14ac:dyDescent="0.2">
      <c r="A86" s="7"/>
      <c r="B86" s="7"/>
      <c r="C86" s="7"/>
    </row>
    <row r="87" spans="1:3" ht="12" customHeight="1" x14ac:dyDescent="0.2">
      <c r="A87" s="8"/>
      <c r="B87" s="8" t="s">
        <v>43</v>
      </c>
      <c r="C87" s="8"/>
    </row>
    <row r="88" spans="1:3" ht="12" customHeight="1" x14ac:dyDescent="0.2">
      <c r="A88" s="7"/>
      <c r="B88" s="7" t="s">
        <v>114</v>
      </c>
      <c r="C88" s="7"/>
    </row>
    <row r="89" spans="1:3" ht="12" customHeight="1" x14ac:dyDescent="0.2">
      <c r="A89" s="7"/>
      <c r="B89" s="7" t="s">
        <v>115</v>
      </c>
      <c r="C89" s="7"/>
    </row>
    <row r="90" spans="1:3" ht="12" customHeight="1" x14ac:dyDescent="0.2">
      <c r="A90" s="7"/>
      <c r="B90" s="7" t="s">
        <v>116</v>
      </c>
      <c r="C90" s="7"/>
    </row>
    <row r="91" spans="1:3" ht="12" customHeight="1" x14ac:dyDescent="0.2">
      <c r="A91" s="7"/>
      <c r="B91" s="7"/>
      <c r="C91" s="7"/>
    </row>
    <row r="92" spans="1:3" ht="12" customHeight="1" x14ac:dyDescent="0.2">
      <c r="A92" s="7"/>
      <c r="B92" s="7" t="s">
        <v>62</v>
      </c>
      <c r="C92" s="7"/>
    </row>
    <row r="93" spans="1:3" ht="12" customHeight="1" x14ac:dyDescent="0.2">
      <c r="A93" s="7"/>
      <c r="B93" s="7"/>
      <c r="C93" s="7"/>
    </row>
    <row r="94" spans="1:3" ht="12" customHeight="1" x14ac:dyDescent="0.2">
      <c r="A94" s="7"/>
      <c r="B94" s="8" t="s">
        <v>304</v>
      </c>
      <c r="C94" s="7"/>
    </row>
    <row r="95" spans="1:3" ht="12" customHeight="1" x14ac:dyDescent="0.2">
      <c r="A95" s="7"/>
      <c r="B95" s="7" t="s">
        <v>199</v>
      </c>
      <c r="C95" s="7"/>
    </row>
    <row r="96" spans="1:3" ht="12" customHeight="1" x14ac:dyDescent="0.2">
      <c r="A96" s="7"/>
      <c r="B96" s="7" t="s">
        <v>200</v>
      </c>
      <c r="C96" s="7"/>
    </row>
    <row r="97" spans="1:3" ht="12" customHeight="1" x14ac:dyDescent="0.2">
      <c r="A97" s="7"/>
      <c r="B97" s="7" t="s">
        <v>337</v>
      </c>
      <c r="C97" s="7"/>
    </row>
    <row r="98" spans="1:3" ht="12" customHeight="1" x14ac:dyDescent="0.2">
      <c r="A98" s="7"/>
      <c r="B98" s="7" t="s">
        <v>338</v>
      </c>
      <c r="C98" s="7"/>
    </row>
    <row r="99" spans="1:3" ht="12" customHeight="1" x14ac:dyDescent="0.2">
      <c r="A99" s="7"/>
      <c r="B99" s="7" t="s">
        <v>339</v>
      </c>
      <c r="C99" s="7"/>
    </row>
    <row r="100" spans="1:3" ht="12" customHeight="1" x14ac:dyDescent="0.2">
      <c r="A100" s="7"/>
      <c r="B100" s="7"/>
      <c r="C100" s="7"/>
    </row>
    <row r="101" spans="1:3" ht="12" customHeight="1" x14ac:dyDescent="0.2">
      <c r="A101" s="7"/>
      <c r="B101" s="7" t="s">
        <v>340</v>
      </c>
      <c r="C101" s="7"/>
    </row>
    <row r="102" spans="1:3" ht="12" customHeight="1" x14ac:dyDescent="0.2">
      <c r="A102" s="7"/>
      <c r="B102" s="7" t="s">
        <v>341</v>
      </c>
      <c r="C102" s="7"/>
    </row>
    <row r="103" spans="1:3" ht="12" customHeight="1" x14ac:dyDescent="0.2">
      <c r="A103" s="7"/>
      <c r="B103" s="7"/>
      <c r="C103" s="7"/>
    </row>
    <row r="104" spans="1:3" ht="12" customHeight="1" x14ac:dyDescent="0.2">
      <c r="A104" s="7"/>
      <c r="B104" s="8" t="s">
        <v>305</v>
      </c>
      <c r="C104" s="7"/>
    </row>
    <row r="105" spans="1:3" ht="12" customHeight="1" x14ac:dyDescent="0.2">
      <c r="B105" s="7" t="s">
        <v>306</v>
      </c>
    </row>
    <row r="106" spans="1:3" ht="12" customHeight="1" x14ac:dyDescent="0.2">
      <c r="B106" s="7" t="s">
        <v>248</v>
      </c>
    </row>
    <row r="107" spans="1:3" ht="12" customHeight="1" x14ac:dyDescent="0.2">
      <c r="B107" s="7" t="s">
        <v>307</v>
      </c>
    </row>
    <row r="108" spans="1:3" ht="12" customHeight="1" x14ac:dyDescent="0.2">
      <c r="B108" s="7" t="s">
        <v>308</v>
      </c>
    </row>
    <row r="109" spans="1:3" ht="12" customHeight="1" x14ac:dyDescent="0.2">
      <c r="B109" s="7" t="s">
        <v>249</v>
      </c>
    </row>
    <row r="110" spans="1:3" ht="12" customHeight="1" x14ac:dyDescent="0.2">
      <c r="B110" s="7" t="s">
        <v>201</v>
      </c>
    </row>
    <row r="111" spans="1:3" ht="12" customHeight="1" x14ac:dyDescent="0.2">
      <c r="B111" s="7" t="s">
        <v>309</v>
      </c>
    </row>
    <row r="112" spans="1:3" ht="12" customHeight="1" x14ac:dyDescent="0.2">
      <c r="B112" s="7"/>
    </row>
    <row r="113" spans="2:2" ht="12" customHeight="1" x14ac:dyDescent="0.2">
      <c r="B113" s="7" t="s">
        <v>282</v>
      </c>
    </row>
    <row r="114" spans="2:2" ht="12" customHeight="1" x14ac:dyDescent="0.2">
      <c r="B114" s="7" t="s">
        <v>136</v>
      </c>
    </row>
    <row r="115" spans="2:2" x14ac:dyDescent="0.2"/>
    <row r="116" spans="2:2" x14ac:dyDescent="0.2"/>
  </sheetData>
  <sheetProtection sheet="1" objects="1" scenarios="1" autoFilter="0"/>
  <phoneticPr fontId="16" type="noConversion"/>
  <pageMargins left="0.75" right="0.75" top="1" bottom="1" header="0.5" footer="0.5"/>
  <pageSetup paperSize="9"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F038-7549-4216-929A-48F6EBB0BD43}">
  <sheetPr codeName="Blad6"/>
  <dimension ref="A1:D15"/>
  <sheetViews>
    <sheetView showGridLines="0" showRowColHeaders="0" zoomScaleNormal="100" workbookViewId="0"/>
  </sheetViews>
  <sheetFormatPr defaultColWidth="0" defaultRowHeight="11.25" zeroHeight="1" x14ac:dyDescent="0.2"/>
  <cols>
    <col min="1" max="2" width="3.5703125" style="7" customWidth="1"/>
    <col min="3" max="3" width="75.5703125" style="7" customWidth="1"/>
    <col min="4" max="4" width="3.5703125" style="7" customWidth="1"/>
    <col min="5" max="16384" width="9.140625" style="7" hidden="1"/>
  </cols>
  <sheetData>
    <row r="1" spans="1:4" s="13" customFormat="1" ht="18" customHeight="1" x14ac:dyDescent="0.2">
      <c r="A1" s="85"/>
      <c r="B1" s="85" t="str">
        <f>"Release notes - " &amp; versie</f>
        <v>Release notes - v20260304</v>
      </c>
      <c r="C1" s="85"/>
      <c r="D1" s="85"/>
    </row>
    <row r="2" spans="1:4" ht="12" customHeight="1" x14ac:dyDescent="0.2"/>
    <row r="3" spans="1:4" ht="12" customHeight="1" x14ac:dyDescent="0.2">
      <c r="B3" s="8" t="s">
        <v>345</v>
      </c>
      <c r="C3" s="8"/>
    </row>
    <row r="4" spans="1:4" ht="12" customHeight="1" x14ac:dyDescent="0.2">
      <c r="B4" s="92" t="s">
        <v>321</v>
      </c>
      <c r="C4" s="78" t="s">
        <v>343</v>
      </c>
    </row>
    <row r="5" spans="1:4" ht="12" customHeight="1" x14ac:dyDescent="0.2">
      <c r="B5" s="92"/>
      <c r="C5" s="78" t="s">
        <v>344</v>
      </c>
    </row>
    <row r="6" spans="1:4" ht="12" customHeight="1" x14ac:dyDescent="0.2"/>
    <row r="7" spans="1:4" ht="12" customHeight="1" x14ac:dyDescent="0.2">
      <c r="B7" s="8" t="s">
        <v>324</v>
      </c>
      <c r="C7" s="8"/>
    </row>
    <row r="8" spans="1:4" ht="12" customHeight="1" x14ac:dyDescent="0.2">
      <c r="B8" s="92" t="s">
        <v>321</v>
      </c>
      <c r="C8" s="78" t="s">
        <v>325</v>
      </c>
    </row>
    <row r="9" spans="1:4" ht="12" customHeight="1" x14ac:dyDescent="0.2">
      <c r="B9" s="92" t="s">
        <v>321</v>
      </c>
      <c r="C9" s="78" t="s">
        <v>332</v>
      </c>
    </row>
    <row r="10" spans="1:4" ht="12" customHeight="1" x14ac:dyDescent="0.2"/>
    <row r="11" spans="1:4" ht="12" customHeight="1" x14ac:dyDescent="0.2">
      <c r="B11" s="8" t="s">
        <v>320</v>
      </c>
      <c r="C11" s="8"/>
    </row>
    <row r="12" spans="1:4" ht="12" customHeight="1" x14ac:dyDescent="0.2">
      <c r="B12" s="92" t="s">
        <v>321</v>
      </c>
      <c r="C12" s="78" t="s">
        <v>322</v>
      </c>
    </row>
    <row r="13" spans="1:4" ht="12" customHeight="1" x14ac:dyDescent="0.2">
      <c r="B13" s="92" t="s">
        <v>321</v>
      </c>
      <c r="C13" s="78" t="s">
        <v>323</v>
      </c>
    </row>
    <row r="14" spans="1:4" x14ac:dyDescent="0.2"/>
    <row r="15" spans="1:4" x14ac:dyDescent="0.2"/>
  </sheetData>
  <sheetProtection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3187-9195-43C1-A39D-9CA6777F401F}">
  <sheetPr codeName="Blad7"/>
  <dimension ref="A1:C6"/>
  <sheetViews>
    <sheetView showGridLines="0" showRowColHeaders="0" zoomScaleNormal="100" workbookViewId="0"/>
  </sheetViews>
  <sheetFormatPr defaultColWidth="0" defaultRowHeight="12.75" customHeight="1" zeroHeight="1" x14ac:dyDescent="0.2"/>
  <cols>
    <col min="1" max="1" width="3.28515625" style="32" customWidth="1"/>
    <col min="2" max="2" width="122.140625" style="32" customWidth="1"/>
    <col min="3" max="3" width="3.5703125" style="32" customWidth="1"/>
    <col min="4" max="16384" width="9.140625" style="32" hidden="1"/>
  </cols>
  <sheetData>
    <row r="1" spans="1:3" s="31" customFormat="1" ht="18" customHeight="1" x14ac:dyDescent="0.2">
      <c r="A1" s="90"/>
      <c r="B1" s="90" t="str">
        <f>"Copyright - " &amp; versie</f>
        <v>Copyright - v20260304</v>
      </c>
      <c r="C1" s="90"/>
    </row>
    <row r="2" spans="1:3" ht="12" customHeight="1" x14ac:dyDescent="0.2"/>
    <row r="3" spans="1:3" ht="12" customHeight="1" x14ac:dyDescent="0.2">
      <c r="B3" s="79" t="s">
        <v>241</v>
      </c>
    </row>
    <row r="4" spans="1:3" ht="12" customHeight="1" x14ac:dyDescent="0.2">
      <c r="B4" s="79" t="s">
        <v>242</v>
      </c>
    </row>
    <row r="5" spans="1:3" ht="12.75" customHeight="1" x14ac:dyDescent="0.2"/>
    <row r="6" spans="1:3" ht="12.75" customHeight="1" x14ac:dyDescent="0.2"/>
  </sheetData>
  <sheetProtection sheet="1" objects="1" scenarios="1" autoFilter="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d24b762-93f9-4840-82f3-44278200b7c2">
      <Terms xmlns="http://schemas.microsoft.com/office/infopath/2007/PartnerControls"/>
    </lcf76f155ced4ddcb4097134ff3c332f>
    <TaxCatchAll xmlns="c29d9b82-aa2e-46d9-96ed-dec9c697bc9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7E0F55846C20D418A5F7A93C5CE7311" ma:contentTypeVersion="14" ma:contentTypeDescription="Een nieuw document maken." ma:contentTypeScope="" ma:versionID="d561900a2bfebc5c58c0451f578a301a">
  <xsd:schema xmlns:xsd="http://www.w3.org/2001/XMLSchema" xmlns:xs="http://www.w3.org/2001/XMLSchema" xmlns:p="http://schemas.microsoft.com/office/2006/metadata/properties" xmlns:ns2="c29d9b82-aa2e-46d9-96ed-dec9c697bc92" xmlns:ns3="dd24b762-93f9-4840-82f3-44278200b7c2" targetNamespace="http://schemas.microsoft.com/office/2006/metadata/properties" ma:root="true" ma:fieldsID="9b4a1c0a78a410bd373df76b6862dd73" ns2:_="" ns3:_="">
    <xsd:import namespace="c29d9b82-aa2e-46d9-96ed-dec9c697bc92"/>
    <xsd:import namespace="dd24b762-93f9-4840-82f3-44278200b7c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9d9b82-aa2e-46d9-96ed-dec9c697bc92"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f0bcffde-ee88-4392-bd5f-1786ac6bcdb4}" ma:internalName="TaxCatchAll" ma:showField="CatchAllData" ma:web="c29d9b82-aa2e-46d9-96ed-dec9c697bc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d24b762-93f9-4840-82f3-44278200b7c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48cded73-9afb-4def-a83f-3bd46fc1067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DE08C9-67C2-4C1F-8402-7B052AF40B60}">
  <ds:schemaRefs>
    <ds:schemaRef ds:uri="http://schemas.microsoft.com/office/2006/metadata/properties"/>
    <ds:schemaRef ds:uri="http://schemas.microsoft.com/office/infopath/2007/PartnerControls"/>
    <ds:schemaRef ds:uri="e24e4495-212a-42a2-be71-36f342494346"/>
    <ds:schemaRef ds:uri="d80f1bd5-751f-4a4d-9d92-c8253a6cb6ac"/>
    <ds:schemaRef ds:uri="dd24b762-93f9-4840-82f3-44278200b7c2"/>
    <ds:schemaRef ds:uri="c29d9b82-aa2e-46d9-96ed-dec9c697bc92"/>
  </ds:schemaRefs>
</ds:datastoreItem>
</file>

<file path=customXml/itemProps2.xml><?xml version="1.0" encoding="utf-8"?>
<ds:datastoreItem xmlns:ds="http://schemas.openxmlformats.org/officeDocument/2006/customXml" ds:itemID="{7787115B-1D58-4327-B3EF-659DF093F83C}">
  <ds:schemaRefs>
    <ds:schemaRef ds:uri="http://schemas.microsoft.com/sharepoint/v3/contenttype/forms"/>
  </ds:schemaRefs>
</ds:datastoreItem>
</file>

<file path=customXml/itemProps3.xml><?xml version="1.0" encoding="utf-8"?>
<ds:datastoreItem xmlns:ds="http://schemas.openxmlformats.org/officeDocument/2006/customXml" ds:itemID="{48331C87-4D14-42CB-BDEB-F7DEEA5C3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9d9b82-aa2e-46d9-96ed-dec9c697bc92"/>
    <ds:schemaRef ds:uri="dd24b762-93f9-4840-82f3-44278200b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12</vt:i4>
      </vt:variant>
      <vt:variant>
        <vt:lpstr>Benoemde bereiken</vt:lpstr>
      </vt:variant>
      <vt:variant>
        <vt:i4>33</vt:i4>
      </vt:variant>
    </vt:vector>
  </HeadingPairs>
  <TitlesOfParts>
    <vt:vector size="45" baseType="lpstr">
      <vt:lpstr>BV ja, BV nee</vt:lpstr>
      <vt:lpstr>Dividend</vt:lpstr>
      <vt:lpstr>Ruisend</vt:lpstr>
      <vt:lpstr>Liqvoord</vt:lpstr>
      <vt:lpstr>Balans ri</vt:lpstr>
      <vt:lpstr>Balans gi </vt:lpstr>
      <vt:lpstr>Art14</vt:lpstr>
      <vt:lpstr>Firma-BV</vt:lpstr>
      <vt:lpstr>Tabellen</vt:lpstr>
      <vt:lpstr>Uitleg</vt:lpstr>
      <vt:lpstr>Release notes</vt:lpstr>
      <vt:lpstr>Copyright</vt:lpstr>
      <vt:lpstr>AB</vt:lpstr>
      <vt:lpstr>Ruisend!Afdrukbereik</vt:lpstr>
      <vt:lpstr>AOWfranchise</vt:lpstr>
      <vt:lpstr>belasting</vt:lpstr>
      <vt:lpstr>Box1DGA</vt:lpstr>
      <vt:lpstr>Box1OND</vt:lpstr>
      <vt:lpstr>dividendLevensonderhoud</vt:lpstr>
      <vt:lpstr>ExclVoordeel</vt:lpstr>
      <vt:lpstr>fiscaleClaims</vt:lpstr>
      <vt:lpstr>invAftrek</vt:lpstr>
      <vt:lpstr>jaar</vt:lpstr>
      <vt:lpstr>Jaarruimte</vt:lpstr>
      <vt:lpstr>Jaren</vt:lpstr>
      <vt:lpstr>KostenBV</vt:lpstr>
      <vt:lpstr>leeftijd</vt:lpstr>
      <vt:lpstr>loonDGA</vt:lpstr>
      <vt:lpstr>minimaalgebruikelijkloon</vt:lpstr>
      <vt:lpstr>mkbvrijst</vt:lpstr>
      <vt:lpstr>premieBeroepspensioen</vt:lpstr>
      <vt:lpstr>Reserveringsruimte</vt:lpstr>
      <vt:lpstr>StakingslijfrenteHoog</vt:lpstr>
      <vt:lpstr>StakingslijfrenteLaag</vt:lpstr>
      <vt:lpstr>StakingslijfrenteMedium</vt:lpstr>
      <vt:lpstr>stijgingWevab</vt:lpstr>
      <vt:lpstr>tabelAK</vt:lpstr>
      <vt:lpstr>tabelIB</vt:lpstr>
      <vt:lpstr>TotaalVoordeel</vt:lpstr>
      <vt:lpstr>vpb</vt:lpstr>
      <vt:lpstr>vpbTarief</vt:lpstr>
      <vt:lpstr>wevab</vt:lpstr>
      <vt:lpstr>WinstIB</vt:lpstr>
      <vt:lpstr>winstVoorVPB</vt:lpstr>
      <vt:lpstr>wkr</vt:lpstr>
    </vt:vector>
  </TitlesOfParts>
  <Company>MFAS/Meijer Fiscale Adviessystemen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Wolters Kluwer Nederland</dc:creator>
  <cp:lastModifiedBy>Tim de Bondt </cp:lastModifiedBy>
  <cp:lastPrinted>2025-03-01T06:55:48Z</cp:lastPrinted>
  <dcterms:created xsi:type="dcterms:W3CDTF">1999-11-14T21:30:10Z</dcterms:created>
  <dcterms:modified xsi:type="dcterms:W3CDTF">2026-03-04T13:36:08Z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0x01010087E0F55846C20D418A5F7A93C5CE7311</vt:lpwstr>
  </property>
  <property fmtid="{D5CDD505-2E9C-101B-9397-08002B2CF9AE}" pid="3" name="MediaServiceImageTags">
    <vt:lpwstr/>
  </property>
</Properties>
</file>